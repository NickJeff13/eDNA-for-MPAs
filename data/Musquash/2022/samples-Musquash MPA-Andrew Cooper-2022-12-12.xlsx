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" sheetId="1" state="visible" r:id="rId3"/>
    <sheet name="Form" sheetId="2" state="visible" r:id="rId4"/>
    <sheet name="Descriptions" sheetId="3" state="visible" r:id="rId5"/>
  </sheets>
  <definedNames>
    <definedName function="false" hidden="false" localSheetId="1" name="_xlnm.Print_Titles" vbProcedure="false">Form!$1:$1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descriptive name for each sample. Be concise but informative. Each name should be unique.
</t>
        </r>
      </text>
    </comment>
    <comment ref="B1" authorId="0">
      <text>
        <r>
          <rPr>
            <sz val="10"/>
            <rFont val="Arial"/>
            <family val="2"/>
          </rPr>
          <t xml:space="preserve">Date of sample collection following ISO 8601 standard "YYYY-mm-dd", "YYYY-mm" or "YYYY-mm-ddThh:mm:ss" (eg., 1990-10-30, 1990-10 or 1990-10-30T14:41:36)</t>
        </r>
      </text>
    </comment>
    <comment ref="C1" authorId="0">
      <text>
        <r>
          <rPr>
            <sz val="10"/>
            <rFont val="Arial"/>
            <family val="2"/>
          </rPr>
          <t xml:space="preserve">Describes the environmental source from which the sample was derived.  Examples include: air, soil, sediment, fresh water, sea water, or tissue. Indicate negative controls (field or lab) with 'blank'.</t>
        </r>
      </text>
    </comment>
    <comment ref="D1" authorId="0">
      <text>
        <r>
          <rPr>
            <sz val="10"/>
            <rFont val="Arial"/>
            <family val="2"/>
          </rPr>
          <t xml:space="preserve">Describes the form of the sample being submitted.  Examples include: sediment, sea water, filter, tissue, DNA extract, DNA library.</t>
        </r>
      </text>
    </comment>
    <comment ref="E1" authorId="0">
      <text>
        <r>
          <rPr>
            <sz val="10"/>
            <rFont val="Arial"/>
            <family val="2"/>
          </rPr>
          <t xml:space="preserve">Amount or size of sample that was collected. Volume for fluid samples (in litres, L) and mass for solid samples (in grams, g).</t>
        </r>
      </text>
    </comment>
    <comment ref="F1" authorId="0">
      <text>
        <r>
          <rPr>
            <sz val="10"/>
            <rFont val="Arial"/>
            <family val="2"/>
          </rPr>
          <t xml:space="preserve">Describes the preservation method used to store the sample. Examples include: ethanol, Longmire's, frozen, dessication. If a preservative solution contains a hazardous material (e.g., Longmire's with sodium azide).</t>
        </r>
      </text>
    </comment>
    <comment ref="G1" authorId="0">
      <text>
        <r>
          <rPr>
            <sz val="10"/>
            <rFont val="Arial"/>
            <family val="2"/>
          </rPr>
          <t xml:space="preserve">State the storage conditions of the sample. Examples include: frozen, room temperature. </t>
        </r>
      </text>
    </comment>
    <comment ref="H1" authorId="0">
      <text>
        <r>
          <rPr>
            <sz val="10"/>
            <rFont val="Arial"/>
            <family val="2"/>
          </rPr>
          <t xml:space="preserve">Depth is defined as the vertical distance below surface, e.g. for sediment or soil samples, depth is measured from the sediment or soil surface, respectively; for water samples, depth is measured from the water surface. Measured in metres (m). </t>
        </r>
      </text>
    </comment>
    <comment ref="I1" authorId="0">
      <text>
        <r>
          <rPr>
            <sz val="10"/>
            <rFont val="Arial"/>
            <family val="2"/>
          </rPr>
          <t xml:space="preserve">The distance from the water surface to the bottom at the location of sampling. Only required for water samples. Measured in metres (m). </t>
        </r>
      </text>
    </comment>
    <comment ref="J1" authorId="0">
      <text>
        <r>
          <rPr>
            <sz val="10"/>
            <rFont val="Arial"/>
            <family val="2"/>
          </rPr>
          <t xml:space="preserve">The elevation of the sampling site as measured by the vertical distance from mean sea level. Not required for marine samples. Measured in metres (m).</t>
        </r>
      </text>
    </comment>
    <comment ref="K1" authorId="0">
      <text>
        <r>
          <rPr>
            <sz val="10"/>
            <rFont val="Arial"/>
            <family val="2"/>
          </rPr>
          <t xml:space="preserve">For tissue samples, the most descriptive organism name for the sample (to the species, if possible)</t>
        </r>
      </text>
    </comment>
    <comment ref="L1" authorId="0">
      <text>
        <r>
          <rPr>
            <sz val="10"/>
            <rFont val="Arial"/>
            <family val="2"/>
          </rPr>
          <t xml:space="preserve">Geographical origin of the sample; use the appropriate name from this list http://www.insdc.org/documents/country-qualifier-vocabulary. Use a colon to separate the country or ocean from more detailed information about the location, eg "Canada: Vancouver" or "Germany: halfway down Zugspitze, Alps"</t>
        </r>
      </text>
    </comment>
    <comment ref="M1" authorId="0">
      <text>
        <r>
          <rPr>
            <sz val="10"/>
            <rFont val="Arial"/>
            <family val="2"/>
          </rPr>
          <t xml:space="preserve">The geographical coordinates of the location where the sample was collected. Specify as degrees latitude in format "d[d.dddd] N|S", e.g. 38.98 N
</t>
        </r>
      </text>
    </comment>
    <comment ref="N1" authorId="0">
      <text>
        <r>
          <rPr>
            <sz val="10"/>
            <rFont val="Arial"/>
            <family val="2"/>
          </rPr>
          <t xml:space="preserve">The geographical coordinates of the location where the sample was collected. Specify as degrees longitude in format "d[dd.dddd] W|E", e.g. 77.11 W</t>
        </r>
      </text>
    </comment>
  </commentList>
</comments>
</file>

<file path=xl/sharedStrings.xml><?xml version="1.0" encoding="utf-8"?>
<sst xmlns="http://schemas.openxmlformats.org/spreadsheetml/2006/main" count="1038" uniqueCount="298">
  <si>
    <t xml:space="preserve">sample_name</t>
  </si>
  <si>
    <t xml:space="preserve">collection_date</t>
  </si>
  <si>
    <t xml:space="preserve">sample_type</t>
  </si>
  <si>
    <t xml:space="preserve">submission_type</t>
  </si>
  <si>
    <t xml:space="preserve">sample_size</t>
  </si>
  <si>
    <t xml:space="preserve">preservation_method</t>
  </si>
  <si>
    <t xml:space="preserve">storage_condition</t>
  </si>
  <si>
    <t xml:space="preserve">sample_depth</t>
  </si>
  <si>
    <t xml:space="preserve">water_depth</t>
  </si>
  <si>
    <t xml:space="preserve">elevation</t>
  </si>
  <si>
    <t xml:space="preserve">organism</t>
  </si>
  <si>
    <t xml:space="preserve">geo_location_name</t>
  </si>
  <si>
    <t xml:space="preserve">latitude</t>
  </si>
  <si>
    <t xml:space="preserve">longitude</t>
  </si>
  <si>
    <t xml:space="preserve">concat</t>
  </si>
  <si>
    <t xml:space="preserve">M01S1</t>
  </si>
  <si>
    <t xml:space="preserve">sea water</t>
  </si>
  <si>
    <t xml:space="preserve">filter</t>
  </si>
  <si>
    <t xml:space="preserve">Longmire's no sodium azide</t>
  </si>
  <si>
    <t xml:space="preserve">frozen</t>
  </si>
  <si>
    <t xml:space="preserve">na</t>
  </si>
  <si>
    <t xml:space="preserve">"Canada:Musquash MPA"</t>
  </si>
  <si>
    <t xml:space="preserve">45.19198 N</t>
  </si>
  <si>
    <t xml:space="preserve"> 66.31992 W</t>
  </si>
  <si>
    <t xml:space="preserve">BIO freezer 1</t>
  </si>
  <si>
    <t xml:space="preserve">M01S2</t>
  </si>
  <si>
    <t xml:space="preserve">BIO freezer 2</t>
  </si>
  <si>
    <t xml:space="preserve">M01S3</t>
  </si>
  <si>
    <t xml:space="preserve">BIO freezer 3</t>
  </si>
  <si>
    <t xml:space="preserve">M02S1</t>
  </si>
  <si>
    <t xml:space="preserve">45.18982 N</t>
  </si>
  <si>
    <t xml:space="preserve">66.31968 W</t>
  </si>
  <si>
    <t xml:space="preserve">BIO freezer 4</t>
  </si>
  <si>
    <t xml:space="preserve">M04S1</t>
  </si>
  <si>
    <t xml:space="preserve">45.18288 N</t>
  </si>
  <si>
    <t xml:space="preserve">66.31908 W</t>
  </si>
  <si>
    <t xml:space="preserve">BIO freezer 5</t>
  </si>
  <si>
    <t xml:space="preserve">M04S2</t>
  </si>
  <si>
    <t xml:space="preserve">BIO freezer 6</t>
  </si>
  <si>
    <t xml:space="preserve">M04S3</t>
  </si>
  <si>
    <t xml:space="preserve">BIO freezer 7</t>
  </si>
  <si>
    <t xml:space="preserve">M06S2</t>
  </si>
  <si>
    <t xml:space="preserve">45.17537 N</t>
  </si>
  <si>
    <t xml:space="preserve">66.31197 W</t>
  </si>
  <si>
    <t xml:space="preserve">BIO freezer 8</t>
  </si>
  <si>
    <t xml:space="preserve">M06S3</t>
  </si>
  <si>
    <t xml:space="preserve">BIO freezer 9</t>
  </si>
  <si>
    <t xml:space="preserve">M07S1</t>
  </si>
  <si>
    <t xml:space="preserve">45.17169 N</t>
  </si>
  <si>
    <t xml:space="preserve">66.30805 W</t>
  </si>
  <si>
    <t xml:space="preserve">BIO freezer 10</t>
  </si>
  <si>
    <t xml:space="preserve">M07S2</t>
  </si>
  <si>
    <t xml:space="preserve">BIO freezer 11</t>
  </si>
  <si>
    <t xml:space="preserve">M08S2</t>
  </si>
  <si>
    <t xml:space="preserve">45.16940 N</t>
  </si>
  <si>
    <t xml:space="preserve">66.30277 W</t>
  </si>
  <si>
    <t xml:space="preserve">BIO freezer 12</t>
  </si>
  <si>
    <t xml:space="preserve">M08S3</t>
  </si>
  <si>
    <t xml:space="preserve">BIO freezer 13</t>
  </si>
  <si>
    <t xml:space="preserve">M08B1</t>
  </si>
  <si>
    <t xml:space="preserve">BIO freezer 14</t>
  </si>
  <si>
    <t xml:space="preserve">M11S1</t>
  </si>
  <si>
    <t xml:space="preserve">45.17898 N</t>
  </si>
  <si>
    <t xml:space="preserve">66.29429 W</t>
  </si>
  <si>
    <t xml:space="preserve">BIO freezer 15</t>
  </si>
  <si>
    <t xml:space="preserve">M11S2</t>
  </si>
  <si>
    <t xml:space="preserve">BIO freezer 16</t>
  </si>
  <si>
    <t xml:space="preserve">M11S3</t>
  </si>
  <si>
    <t xml:space="preserve">BIO freezer 17</t>
  </si>
  <si>
    <t xml:space="preserve">M15S1</t>
  </si>
  <si>
    <t xml:space="preserve">45.18655 N</t>
  </si>
  <si>
    <t xml:space="preserve">66.28346 W</t>
  </si>
  <si>
    <t xml:space="preserve">BIO freezer 18</t>
  </si>
  <si>
    <t xml:space="preserve">M15S2</t>
  </si>
  <si>
    <t xml:space="preserve">BIO freezer 19</t>
  </si>
  <si>
    <t xml:space="preserve">M15S3</t>
  </si>
  <si>
    <t xml:space="preserve">BIO freezer 20</t>
  </si>
  <si>
    <t xml:space="preserve">M16S2</t>
  </si>
  <si>
    <t xml:space="preserve">45.19069 N</t>
  </si>
  <si>
    <t xml:space="preserve">66.28051 W</t>
  </si>
  <si>
    <t xml:space="preserve">BIO freezer 21</t>
  </si>
  <si>
    <t xml:space="preserve">M16S3</t>
  </si>
  <si>
    <t xml:space="preserve">BIO freezer 22</t>
  </si>
  <si>
    <t xml:space="preserve">M19S1</t>
  </si>
  <si>
    <t xml:space="preserve">45.19024 N</t>
  </si>
  <si>
    <t xml:space="preserve">66.26321 W</t>
  </si>
  <si>
    <t xml:space="preserve">BIO freezer 23</t>
  </si>
  <si>
    <t xml:space="preserve">M19S2</t>
  </si>
  <si>
    <t xml:space="preserve">BIO freezer 24</t>
  </si>
  <si>
    <t xml:space="preserve">M19S3</t>
  </si>
  <si>
    <t xml:space="preserve">BIO freezer 25</t>
  </si>
  <si>
    <t xml:space="preserve">M20B1</t>
  </si>
  <si>
    <t xml:space="preserve">45.18728 N</t>
  </si>
  <si>
    <t xml:space="preserve">66.25850 W</t>
  </si>
  <si>
    <t xml:space="preserve">BIO freezer 26</t>
  </si>
  <si>
    <t xml:space="preserve">M20B2</t>
  </si>
  <si>
    <t xml:space="preserve">BIO freezer 27</t>
  </si>
  <si>
    <t xml:space="preserve">M20B3</t>
  </si>
  <si>
    <t xml:space="preserve">BIO freezer 28</t>
  </si>
  <si>
    <t xml:space="preserve">M22S1</t>
  </si>
  <si>
    <t xml:space="preserve">45.18092 N</t>
  </si>
  <si>
    <t xml:space="preserve">66.24884 W</t>
  </si>
  <si>
    <t xml:space="preserve">BIO freezer 29</t>
  </si>
  <si>
    <t xml:space="preserve">M22S2</t>
  </si>
  <si>
    <t xml:space="preserve">BIO freezer 30</t>
  </si>
  <si>
    <t xml:space="preserve">M22S3</t>
  </si>
  <si>
    <t xml:space="preserve">BIO freezer 31</t>
  </si>
  <si>
    <t xml:space="preserve">M24S1</t>
  </si>
  <si>
    <t xml:space="preserve">45.17369 N</t>
  </si>
  <si>
    <t xml:space="preserve">66.24174 W</t>
  </si>
  <si>
    <t xml:space="preserve">BIO freezer 32</t>
  </si>
  <si>
    <t xml:space="preserve">M24S2</t>
  </si>
  <si>
    <t xml:space="preserve">BIO freezer 33</t>
  </si>
  <si>
    <t xml:space="preserve">M24S3</t>
  </si>
  <si>
    <t xml:space="preserve">BIO freezer 34</t>
  </si>
  <si>
    <t xml:space="preserve">M26S1</t>
  </si>
  <si>
    <t xml:space="preserve">45.16529 N</t>
  </si>
  <si>
    <t xml:space="preserve">66.24461 W</t>
  </si>
  <si>
    <t xml:space="preserve">BIO freezer 35</t>
  </si>
  <si>
    <t xml:space="preserve">M26S2</t>
  </si>
  <si>
    <t xml:space="preserve">BIO freezer 36</t>
  </si>
  <si>
    <t xml:space="preserve">M28S1</t>
  </si>
  <si>
    <t xml:space="preserve">45.15721 N</t>
  </si>
  <si>
    <t xml:space="preserve">66.24971 W</t>
  </si>
  <si>
    <t xml:space="preserve">BIO freezer 37</t>
  </si>
  <si>
    <t xml:space="preserve">M28S2</t>
  </si>
  <si>
    <t xml:space="preserve">BIO freezer 38</t>
  </si>
  <si>
    <t xml:space="preserve">M28S3</t>
  </si>
  <si>
    <t xml:space="preserve">BIO freezer 39</t>
  </si>
  <si>
    <t xml:space="preserve">M30S1</t>
  </si>
  <si>
    <t xml:space="preserve">45.14826 N</t>
  </si>
  <si>
    <t xml:space="preserve">66.24730 W</t>
  </si>
  <si>
    <t xml:space="preserve">BIO freezer 40</t>
  </si>
  <si>
    <t xml:space="preserve">M30S2</t>
  </si>
  <si>
    <t xml:space="preserve">BIO freezer 41</t>
  </si>
  <si>
    <t xml:space="preserve">M30S3</t>
  </si>
  <si>
    <t xml:space="preserve">BIO freezer 42</t>
  </si>
  <si>
    <t xml:space="preserve">M30B1</t>
  </si>
  <si>
    <t xml:space="preserve">BIO freezer 43</t>
  </si>
  <si>
    <t xml:space="preserve">M30B2</t>
  </si>
  <si>
    <t xml:space="preserve">BIO freezer 44</t>
  </si>
  <si>
    <t xml:space="preserve">M30B3</t>
  </si>
  <si>
    <t xml:space="preserve">BIO freezer 45</t>
  </si>
  <si>
    <t xml:space="preserve">M32S2</t>
  </si>
  <si>
    <t xml:space="preserve">45.14379 N</t>
  </si>
  <si>
    <t xml:space="preserve">66.24604 W</t>
  </si>
  <si>
    <t xml:space="preserve">BIO freezer 46</t>
  </si>
  <si>
    <t xml:space="preserve">M32S3</t>
  </si>
  <si>
    <t xml:space="preserve">BIO freezer 47</t>
  </si>
  <si>
    <t xml:space="preserve">M32B1</t>
  </si>
  <si>
    <t xml:space="preserve">BIO freezer 48</t>
  </si>
  <si>
    <t xml:space="preserve">M32B2</t>
  </si>
  <si>
    <t xml:space="preserve">BIO freezer 49</t>
  </si>
  <si>
    <t xml:space="preserve">M32B3</t>
  </si>
  <si>
    <t xml:space="preserve">BIO freezer 50</t>
  </si>
  <si>
    <t xml:space="preserve">2B01S1</t>
  </si>
  <si>
    <t xml:space="preserve">45.14080 N</t>
  </si>
  <si>
    <t xml:space="preserve">66.25800 W</t>
  </si>
  <si>
    <t xml:space="preserve">BIO freezer 51</t>
  </si>
  <si>
    <t xml:space="preserve">2B01S2</t>
  </si>
  <si>
    <t xml:space="preserve">BIO freezer 52</t>
  </si>
  <si>
    <t xml:space="preserve">2B02S1</t>
  </si>
  <si>
    <t xml:space="preserve">45.14356 N</t>
  </si>
  <si>
    <t xml:space="preserve">66.26273 W</t>
  </si>
  <si>
    <t xml:space="preserve">BIO freezer 53</t>
  </si>
  <si>
    <t xml:space="preserve">2B02S2</t>
  </si>
  <si>
    <t xml:space="preserve">BIO freezer 54</t>
  </si>
  <si>
    <t xml:space="preserve">2B03S1</t>
  </si>
  <si>
    <t xml:space="preserve">45.14180 N</t>
  </si>
  <si>
    <t xml:space="preserve">66.25995 W</t>
  </si>
  <si>
    <t xml:space="preserve">BIO freezer 55</t>
  </si>
  <si>
    <t xml:space="preserve">2B03S2</t>
  </si>
  <si>
    <t xml:space="preserve">BIO freezer 56</t>
  </si>
  <si>
    <t xml:space="preserve">2B03S3</t>
  </si>
  <si>
    <t xml:space="preserve">BIO freezer 57</t>
  </si>
  <si>
    <t xml:space="preserve">2B03B1</t>
  </si>
  <si>
    <t xml:space="preserve">BIO freezer 58</t>
  </si>
  <si>
    <t xml:space="preserve">2B03B2</t>
  </si>
  <si>
    <t xml:space="preserve">BIO freezer 59</t>
  </si>
  <si>
    <t xml:space="preserve">2B03B3</t>
  </si>
  <si>
    <t xml:space="preserve">BIO freezer 60</t>
  </si>
  <si>
    <t xml:space="preserve">301S1</t>
  </si>
  <si>
    <t xml:space="preserve">45.13879 N</t>
  </si>
  <si>
    <t xml:space="preserve">66.25691 W</t>
  </si>
  <si>
    <t xml:space="preserve">BIO freezer 61</t>
  </si>
  <si>
    <t xml:space="preserve">301S2</t>
  </si>
  <si>
    <t xml:space="preserve">BIO freezer 62</t>
  </si>
  <si>
    <t xml:space="preserve">301S3</t>
  </si>
  <si>
    <t xml:space="preserve">BIO freezer 63</t>
  </si>
  <si>
    <t xml:space="preserve">301B1</t>
  </si>
  <si>
    <t xml:space="preserve">BIO freezer 64</t>
  </si>
  <si>
    <t xml:space="preserve">301B2</t>
  </si>
  <si>
    <t xml:space="preserve">BIO freezer 65</t>
  </si>
  <si>
    <t xml:space="preserve">301B3</t>
  </si>
  <si>
    <t xml:space="preserve">BIO freezer 66</t>
  </si>
  <si>
    <t xml:space="preserve">302S1</t>
  </si>
  <si>
    <t xml:space="preserve">45.14597 N</t>
  </si>
  <si>
    <t xml:space="preserve">66.24249 W</t>
  </si>
  <si>
    <t xml:space="preserve">BIO freezer 67</t>
  </si>
  <si>
    <t xml:space="preserve">302S2</t>
  </si>
  <si>
    <t xml:space="preserve">BIO freezer 68</t>
  </si>
  <si>
    <t xml:space="preserve">302S3</t>
  </si>
  <si>
    <t xml:space="preserve">BIO freezer 69</t>
  </si>
  <si>
    <t xml:space="preserve">303S1</t>
  </si>
  <si>
    <t xml:space="preserve">45.14245 N</t>
  </si>
  <si>
    <t xml:space="preserve">66.25058 W</t>
  </si>
  <si>
    <t xml:space="preserve">BIO freezer 70</t>
  </si>
  <si>
    <t xml:space="preserve">303S2</t>
  </si>
  <si>
    <t xml:space="preserve">BIO freezer 71</t>
  </si>
  <si>
    <t xml:space="preserve">303S3</t>
  </si>
  <si>
    <t xml:space="preserve">BIO freezer 72</t>
  </si>
  <si>
    <t xml:space="preserve">2A01S1</t>
  </si>
  <si>
    <t xml:space="preserve">45.15794 N</t>
  </si>
  <si>
    <t xml:space="preserve">66.25781 W</t>
  </si>
  <si>
    <t xml:space="preserve">BIO freezer 73</t>
  </si>
  <si>
    <t xml:space="preserve">2A01S2</t>
  </si>
  <si>
    <t xml:space="preserve">BIO freezer 74</t>
  </si>
  <si>
    <t xml:space="preserve">2A01S3</t>
  </si>
  <si>
    <t xml:space="preserve">BIO freezer 75</t>
  </si>
  <si>
    <t xml:space="preserve">2A10S3</t>
  </si>
  <si>
    <t xml:space="preserve">45.15411 N</t>
  </si>
  <si>
    <t xml:space="preserve">66.25410 W</t>
  </si>
  <si>
    <t xml:space="preserve">BIO freezer 76</t>
  </si>
  <si>
    <t xml:space="preserve">2A12S1</t>
  </si>
  <si>
    <t xml:space="preserve">45.15398 N</t>
  </si>
  <si>
    <t xml:space="preserve">66.23505 W</t>
  </si>
  <si>
    <t xml:space="preserve">BIO freezer 77</t>
  </si>
  <si>
    <t xml:space="preserve">2A12S2</t>
  </si>
  <si>
    <t xml:space="preserve">BIO freezer 78</t>
  </si>
  <si>
    <t xml:space="preserve">2A12S3</t>
  </si>
  <si>
    <t xml:space="preserve">BIO freezer 79</t>
  </si>
  <si>
    <t xml:space="preserve">2A12B1</t>
  </si>
  <si>
    <t xml:space="preserve">BIO freezer 80</t>
  </si>
  <si>
    <t xml:space="preserve">2A12B2</t>
  </si>
  <si>
    <t xml:space="preserve">BIO freezer 81</t>
  </si>
  <si>
    <t xml:space="preserve">2A12B3</t>
  </si>
  <si>
    <t xml:space="preserve">BIO freezer 82</t>
  </si>
  <si>
    <t xml:space="preserve">B0912</t>
  </si>
  <si>
    <t xml:space="preserve">field blank</t>
  </si>
  <si>
    <t xml:space="preserve">BIO freezer 83</t>
  </si>
  <si>
    <t xml:space="preserve">B0913</t>
  </si>
  <si>
    <t xml:space="preserve">BIO freezer 84</t>
  </si>
  <si>
    <t xml:space="preserve">LB01</t>
  </si>
  <si>
    <t xml:space="preserve">lab blank</t>
  </si>
  <si>
    <t xml:space="preserve">BIO freezer 85</t>
  </si>
  <si>
    <t xml:space="preserve">LB02</t>
  </si>
  <si>
    <t xml:space="preserve">BIO freezer 86</t>
  </si>
  <si>
    <t xml:space="preserve">Required Fields</t>
  </si>
  <si>
    <t xml:space="preserve">Name</t>
  </si>
  <si>
    <t xml:space="preserve">Description</t>
  </si>
  <si>
    <t xml:space="preserve">A descriptive name for each sample. Be concise but informative. Each name should be unique.</t>
  </si>
  <si>
    <t xml:space="preserve">Date of sample collection following ISO 8601 standard "YYYY-mm-dd", "YYYY-mm" or "YYYY-mm-ddThh:mm:ss" (eg., 1990-10-30, 1990-10 or 1990-10-30T14:41:36).</t>
  </si>
  <si>
    <t xml:space="preserve">Describes the environmental source from which the sample was derived.  Examples include: air, soil, sediment, fresh water, sea water, or tissue. Indicate negative controls (field or lab) with 'blank'.</t>
  </si>
  <si>
    <t xml:space="preserve">Describes the form of the sample being submitted.  Examples include: sediment, sea water, filter, tissue, DNA extract, DNA library.</t>
  </si>
  <si>
    <t xml:space="preserve">Describes the storage conditions of the sample. Examples include: frozen, room temperature. </t>
  </si>
  <si>
    <t xml:space="preserve">Describes the preservation method used to store the sample. Examples include: ethanol, Longmire's, frozen, dessication. If a preservative solution contains a hazardous material (e.g., Longmire's with sodium azide).</t>
  </si>
  <si>
    <t xml:space="preserve">Amount or size of sample that was collected. Volume for fluid samples (in litres, L) and mass for solid samples (in grams, g).</t>
  </si>
  <si>
    <t xml:space="preserve">Depth is defined as the vertical distance below surface (e.g., for sediment or soil samples, depth is measured from the sediment or soil surface, respectively; for water samples, depth is measured from the water surface). Depth is measured in metres (m). </t>
  </si>
  <si>
    <t xml:space="preserve">The distance from the water surface to the bottom at the location of sampling. Only required for water samples. Measured in metres (m). </t>
  </si>
  <si>
    <t xml:space="preserve">The elevation of the sampling site as measured by the vertical distance from mean sea level. Not required for marine samples. Measured in metres (m).</t>
  </si>
  <si>
    <t xml:space="preserve">For tissue samples, the most descriptive organism name for the sample (to the species, if possible)</t>
  </si>
  <si>
    <t xml:space="preserve">Geographical origin of the sample; use the appropriate name from this list http://www.insdc.org/documents/country-qualifier-vocabulary. Use a colon to separate the country or ocean from more detailed information about the location, eg "Canada: Vancouver" or "Germany: halfway down Zugspitze, Alps".</t>
  </si>
  <si>
    <t xml:space="preserve">The geographical coordinates of the location where the sample was collected. Specify as degrees latitude in format "dd.dddd N|S", e.g. 38.98 N.</t>
  </si>
  <si>
    <t xml:space="preserve">The geographical coordinates of the location where the sample was collected. Specify as degrees longitude in format "dd.dddd W|E", e.g. 77.11 W.</t>
  </si>
  <si>
    <t xml:space="preserve">Optional Fields</t>
  </si>
  <si>
    <t xml:space="preserve">weather</t>
  </si>
  <si>
    <t xml:space="preserve">Record type of precipitation if the hourly accumulation while sampling is &gt;1mm (liquid) or &gt;1cm (frozen). One of [none, rain, snow, mixture]</t>
  </si>
  <si>
    <t xml:space="preserve">site</t>
  </si>
  <si>
    <t xml:space="preserve">If several samples are collected from a single location, a unique site identifier  should be included here (e.g. multiple water depths from a single location)</t>
  </si>
  <si>
    <t xml:space="preserve">transect</t>
  </si>
  <si>
    <t xml:space="preserve">If samples are collected following a transect design, a unique transect identifier should be included here </t>
  </si>
  <si>
    <t xml:space="preserve">ph</t>
  </si>
  <si>
    <t xml:space="preserve">pH measurement</t>
  </si>
  <si>
    <t xml:space="preserve">sample_depth_feat</t>
  </si>
  <si>
    <t xml:space="preserve">Feature of sampling depth. Examples for water include: surface, bottom, deep scattering layer (DSL), deep chlorophyll maximum (DCM), pycnocline, etc.</t>
  </si>
  <si>
    <t xml:space="preserve">conductivity</t>
  </si>
  <si>
    <t xml:space="preserve">Electrical conductivity of sample site</t>
  </si>
  <si>
    <t xml:space="preserve">diss_oxygen</t>
  </si>
  <si>
    <t xml:space="preserve">Concentration of dissolved oxygen</t>
  </si>
  <si>
    <t xml:space="preserve">salinity</t>
  </si>
  <si>
    <t xml:space="preserve">Salinity measurement</t>
  </si>
  <si>
    <t xml:space="preserve">volume_filtered</t>
  </si>
  <si>
    <t xml:space="preserve">If filtering water samples, specify the volume filtered in litres.</t>
  </si>
  <si>
    <t xml:space="preserve">turbidity</t>
  </si>
  <si>
    <t xml:space="preserve">Turbidity measurement</t>
  </si>
  <si>
    <t xml:space="preserve">temperature</t>
  </si>
  <si>
    <t xml:space="preserve">Temperature of the sample at time of sampling</t>
  </si>
  <si>
    <t xml:space="preserve">niskin</t>
  </si>
  <si>
    <t xml:space="preserve">For water samples collected with a Niskin rosette, the bottle number used to collect the sample</t>
  </si>
  <si>
    <t xml:space="preserve">chlorophyll</t>
  </si>
  <si>
    <t xml:space="preserve">Concentration of chlorophyll</t>
  </si>
  <si>
    <t xml:space="preserve">soil_type</t>
  </si>
  <si>
    <t xml:space="preserve">Soil series name or other lower-level classification</t>
  </si>
  <si>
    <t xml:space="preserve">sediment_type</t>
  </si>
  <si>
    <t xml:space="preserve">Information about the sediment type based on major constituents</t>
  </si>
  <si>
    <t xml:space="preserve">comments</t>
  </si>
  <si>
    <t xml:space="preserve">Additional observations associated with sample that may be relevant </t>
  </si>
  <si>
    <t xml:space="preserve">Additional Fields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</si>
</sst>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0.00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color theme="7"/>
      <name val="Calibri"/>
      <family val="2"/>
      <charset val="1"/>
    </font>
    <font>
      <sz val="11"/>
      <color rgb="FF00B0F0"/>
      <name val="Calibri"/>
      <family val="2"/>
      <charset val="1"/>
    </font>
    <font>
      <sz val="20"/>
      <color theme="1"/>
      <name val="Calibri Light"/>
      <family val="0"/>
    </font>
    <font>
      <sz val="14"/>
      <color theme="8" tint="-0.25"/>
      <name val="Calibri"/>
      <family val="0"/>
    </font>
    <font>
      <sz val="11"/>
      <color theme="1"/>
      <name val="Calibri"/>
      <family val="0"/>
    </font>
    <font>
      <sz val="11"/>
      <color rgb="FF000000"/>
      <name val="Calibri"/>
      <family val="0"/>
    </font>
    <font>
      <b val="true"/>
      <u val="single"/>
      <sz val="11"/>
      <color theme="1"/>
      <name val="Calibri"/>
      <family val="0"/>
    </font>
    <font>
      <i val="true"/>
      <sz val="11"/>
      <color rgb="FF000000"/>
      <name val="Calibri"/>
      <family val="0"/>
    </font>
    <font>
      <i val="true"/>
      <sz val="11"/>
      <color theme="1"/>
      <name val="Calibri"/>
      <family val="0"/>
    </font>
    <font>
      <b val="true"/>
      <i val="true"/>
      <sz val="11"/>
      <color rgb="FF000000"/>
      <name val="Calibri"/>
      <family val="0"/>
    </font>
    <font>
      <u val="single"/>
      <sz val="11"/>
      <color theme="1"/>
      <name val="Calibri"/>
      <family val="0"/>
    </font>
    <font>
      <sz val="14"/>
      <color theme="1"/>
      <name val="Calibri"/>
      <family val="2"/>
      <charset val="1"/>
    </font>
    <font>
      <sz val="10"/>
      <name val="Arial"/>
      <family val="2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-0.25"/>
        <bgColor rgb="FF666699"/>
      </patternFill>
    </fill>
    <fill>
      <patternFill patternType="solid">
        <fgColor theme="2" tint="-0.75"/>
        <bgColor rgb="FF333300"/>
      </patternFill>
    </fill>
    <fill>
      <patternFill patternType="solid">
        <fgColor theme="9" tint="0.7999"/>
        <bgColor rgb="FFFFFFCC"/>
      </patternFill>
    </fill>
    <fill>
      <patternFill patternType="solid">
        <fgColor theme="8" tint="0.5999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50760</xdr:colOff>
      <xdr:row>1</xdr:row>
      <xdr:rowOff>31680</xdr:rowOff>
    </xdr:from>
    <xdr:to>
      <xdr:col>13</xdr:col>
      <xdr:colOff>9000</xdr:colOff>
      <xdr:row>26</xdr:row>
      <xdr:rowOff>132840</xdr:rowOff>
    </xdr:to>
    <xdr:sp>
      <xdr:nvSpPr>
        <xdr:cNvPr id="0" name="TextBox 1"/>
        <xdr:cNvSpPr/>
      </xdr:nvSpPr>
      <xdr:spPr>
        <a:xfrm>
          <a:off x="50760" y="222120"/>
          <a:ext cx="9822960" cy="486360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endParaRPr b="0" lang="en-CA" sz="2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2000" spc="-1" strike="noStrike">
              <a:solidFill>
                <a:schemeClr val="dk1"/>
              </a:solidFill>
              <a:latin typeface="Calibri Light"/>
            </a:rPr>
            <a:t>Sample Submission</a:t>
          </a:r>
          <a:endParaRPr b="0" lang="en-CA" sz="2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400" spc="-1" strike="noStrike">
              <a:solidFill>
                <a:schemeClr val="accent5">
                  <a:lumMod val="75000"/>
                </a:schemeClr>
              </a:solidFill>
              <a:latin typeface="Calibri"/>
            </a:rPr>
            <a:t>Electronic Sample Submission Form</a:t>
          </a:r>
          <a:endParaRPr b="0" lang="en-CA" sz="14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rgbClr val="000000"/>
              </a:solidFill>
              <a:latin typeface="Calibri"/>
            </a:rPr>
            <a:t>This is your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CEGA Sample Submission Form. Please review the </a:t>
          </a:r>
          <a:r>
            <a:rPr b="1" lang="en-CA" sz="1100" spc="-1" strike="noStrike" u="sng">
              <a:solidFill>
                <a:schemeClr val="dk1"/>
              </a:solidFill>
              <a:uFillTx/>
              <a:latin typeface="Calibri"/>
            </a:rPr>
            <a:t>Sample Submission Standard Operating Procedure (SOP-F007)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before proceeding with this form. 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All default fields in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the form (see </a:t>
          </a:r>
          <a:r>
            <a:rPr b="0" i="1" lang="en-CA" sz="1100" spc="-1" strike="noStrike">
              <a:solidFill>
                <a:srgbClr val="000000"/>
              </a:solidFill>
              <a:latin typeface="Calibri"/>
            </a:rPr>
            <a:t>Form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 tab on this sheet) must be completed prior to submission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 Descriptions of each field can be seen by hovering over the column name or a complete list can be found in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tab of this Excel file. If some information is not available or not relevant for your samples, please indicate this in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Form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 (e.g., "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not applicable" or "not available"). 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Optional extra fields can be added to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Form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to provide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additional sample information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 Example fields that you may wish to include in your sample submission are on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of this Excel file. These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are not required but can add important and valuable dimensions to data interpretation. Extra fields can be included in your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submission form by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adding new columns </a:t>
          </a:r>
          <a:r>
            <a:rPr b="1" i="1" lang="en-CA" sz="1100" spc="-1" strike="noStrike">
              <a:solidFill>
                <a:srgbClr val="000000"/>
              </a:solidFill>
              <a:latin typeface="Calibri"/>
            </a:rPr>
            <a:t>to the right of the required columns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 in t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he table on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Form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tab. If you would like to include a field not listed in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tab, you may do so, but please add a description of the field to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 under 'Additional Fields'. For any optional or additional fields used, please include units of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measurement, where applicable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To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submit a Sample Submission Form, save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a completed version of this file using the following naming structure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'samples-PROJECT NAME-CONTACT NAME-DATE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.xlsx' where the date is in YYYY-MM-DD format. 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Completed Sample Submission Forms should be sent to </a:t>
          </a:r>
          <a:r>
            <a:rPr b="0" lang="en-US" sz="1100" spc="-1" strike="noStrike" u="sng">
              <a:solidFill>
                <a:schemeClr val="dk1"/>
              </a:solidFill>
              <a:uFillTx/>
              <a:latin typeface="Calibri"/>
            </a:rPr>
            <a:t>services@ednatec.com</a:t>
          </a:r>
          <a:r>
            <a:rPr b="0" lang="en-US" sz="1100" spc="-1" strike="noStrike">
              <a:solidFill>
                <a:schemeClr val="dk1"/>
              </a:solidFill>
              <a:latin typeface="Calibri"/>
            </a:rPr>
            <a:t> and CC </a:t>
          </a:r>
          <a:r>
            <a:rPr b="0" lang="en-US" sz="1100" spc="-1" strike="noStrike" u="sng">
              <a:solidFill>
                <a:schemeClr val="dk1"/>
              </a:solidFill>
              <a:uFillTx/>
              <a:latin typeface="Calibri"/>
            </a:rPr>
            <a:t>beverly.mcclenaghan@ednatec.com</a:t>
          </a:r>
          <a:r>
            <a:rPr b="0" lang="en-US" sz="1100" spc="-1" strike="noStrike">
              <a:solidFill>
                <a:schemeClr val="dk1"/>
              </a:solidFill>
              <a:latin typeface="Calibri"/>
            </a:rPr>
            <a:t>.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Any questions about your submission can be sent to </a:t>
          </a:r>
          <a:r>
            <a:rPr b="0" lang="en-US" sz="1100" spc="-1" strike="noStrike" u="sng">
              <a:solidFill>
                <a:schemeClr val="dk1"/>
              </a:solidFill>
              <a:uFillTx/>
              <a:latin typeface="Calibri"/>
            </a:rPr>
            <a:t>beverly.mcclenaghan@ednatec.com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.</a:t>
          </a:r>
          <a:endParaRPr b="0" lang="en-CA" sz="11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577800</xdr:colOff>
      <xdr:row>2</xdr:row>
      <xdr:rowOff>127080</xdr:rowOff>
    </xdr:from>
    <xdr:to>
      <xdr:col>12</xdr:col>
      <xdr:colOff>393120</xdr:colOff>
      <xdr:row>6</xdr:row>
      <xdr:rowOff>101160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6648480" y="507960"/>
          <a:ext cx="2850480" cy="7362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:N" headerRowCount="1" totalsRowCount="0" totalsRowShown="0">
  <autoFilter ref="A:N"/>
  <tableColumns count="14">
    <tableColumn id="1" name="sample_name"/>
    <tableColumn id="2" name="collection_date"/>
    <tableColumn id="3" name="sample_type"/>
    <tableColumn id="4" name="submission_type"/>
    <tableColumn id="5" name="sample_size"/>
    <tableColumn id="6" name="preservation_method"/>
    <tableColumn id="7" name="storage_condition"/>
    <tableColumn id="8" name="sample_depth"/>
    <tableColumn id="9" name="water_depth"/>
    <tableColumn id="10" name="elevation"/>
    <tableColumn id="11" name="organism"/>
    <tableColumn id="12" name="geo_location_name"/>
    <tableColumn id="13" name="latitude"/>
    <tableColumn id="14" name="longitu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P4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8" activeCellId="0" sqref="R28"/>
    </sheetView>
  </sheetViews>
  <sheetFormatPr defaultColWidth="8.5390625" defaultRowHeight="15" zeroHeight="false" outlineLevelRow="0" outlineLevelCol="0"/>
  <sheetData>
    <row r="4" customFormat="false" ht="15" hidden="false" customHeight="false" outlineLevel="0" collapsed="false">
      <c r="P4" s="1"/>
    </row>
    <row r="5" customFormat="false" ht="15" hidden="false" customHeight="false" outlineLevel="0" collapsed="false">
      <c r="P5" s="2"/>
    </row>
    <row r="6" customFormat="false" ht="15" hidden="false" customHeight="false" outlineLevel="0" collapsed="false">
      <c r="P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4" width="17"/>
    <col collapsed="false" customWidth="true" hidden="false" outlineLevel="0" max="3" min="3" style="0" width="18.29"/>
    <col collapsed="false" customWidth="true" hidden="false" outlineLevel="0" max="4" min="4" style="0" width="9"/>
    <col collapsed="false" customWidth="true" hidden="false" outlineLevel="0" max="5" min="5" style="0" width="8.29"/>
    <col collapsed="false" customWidth="true" hidden="false" outlineLevel="0" max="6" min="6" style="0" width="18.43"/>
    <col collapsed="false" customWidth="true" hidden="false" outlineLevel="0" max="7" min="7" style="0" width="9.57"/>
    <col collapsed="false" customWidth="true" hidden="false" outlineLevel="0" max="8" min="8" style="0" width="6.57"/>
    <col collapsed="false" customWidth="true" hidden="false" outlineLevel="0" max="10" min="10" style="0" width="11.57"/>
    <col collapsed="false" customWidth="true" hidden="false" outlineLevel="0" max="11" min="11" style="0" width="14.29"/>
    <col collapsed="false" customWidth="true" hidden="false" outlineLevel="0" max="12" min="12" style="0" width="22.28"/>
    <col collapsed="false" customWidth="true" hidden="false" outlineLevel="0" max="13" min="13" style="0" width="14.86"/>
    <col collapsed="false" customWidth="true" hidden="false" outlineLevel="0" max="14" min="14" style="0" width="11.86"/>
    <col collapsed="false" customWidth="true" hidden="false" outlineLevel="0" max="15" min="15" style="0" width="45.88"/>
  </cols>
  <sheetData>
    <row r="1" customFormat="false" ht="15" hidden="false" customHeight="false" outlineLevel="0" collapsed="false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5" t="s">
        <v>14</v>
      </c>
    </row>
    <row r="2" customFormat="false" ht="17.35" hidden="false" customHeight="false" outlineLevel="0" collapsed="false">
      <c r="A2" s="8" t="s">
        <v>15</v>
      </c>
      <c r="B2" s="9" t="n">
        <v>44816</v>
      </c>
      <c r="C2" s="5" t="s">
        <v>16</v>
      </c>
      <c r="D2" s="5" t="s">
        <v>17</v>
      </c>
      <c r="E2" s="0" t="n">
        <v>0.7</v>
      </c>
      <c r="F2" s="5" t="s">
        <v>18</v>
      </c>
      <c r="G2" s="5" t="s">
        <v>19</v>
      </c>
      <c r="H2" s="0" t="n">
        <v>1</v>
      </c>
      <c r="I2" s="0" t="n">
        <v>6.2</v>
      </c>
      <c r="J2" s="5" t="s">
        <v>20</v>
      </c>
      <c r="K2" s="5" t="s">
        <v>20</v>
      </c>
      <c r="L2" s="5" t="s">
        <v>21</v>
      </c>
      <c r="M2" s="5" t="s">
        <v>22</v>
      </c>
      <c r="N2" s="5" t="s">
        <v>23</v>
      </c>
      <c r="O2" s="0" t="str">
        <f aca="false">_xlfn.CONCAT(M2," ",N2)</f>
        <v>45.19198 N  66.31992 W</v>
      </c>
      <c r="P2" s="5" t="s">
        <v>24</v>
      </c>
    </row>
    <row r="3" customFormat="false" ht="17.35" hidden="false" customHeight="false" outlineLevel="0" collapsed="false">
      <c r="A3" s="8" t="s">
        <v>25</v>
      </c>
      <c r="B3" s="9" t="n">
        <v>44816</v>
      </c>
      <c r="C3" s="5" t="s">
        <v>16</v>
      </c>
      <c r="D3" s="5" t="s">
        <v>17</v>
      </c>
      <c r="E3" s="0" t="n">
        <v>0.6</v>
      </c>
      <c r="F3" s="5" t="s">
        <v>18</v>
      </c>
      <c r="G3" s="5" t="s">
        <v>19</v>
      </c>
      <c r="H3" s="0" t="n">
        <v>1</v>
      </c>
      <c r="I3" s="0" t="n">
        <v>6.2</v>
      </c>
      <c r="J3" s="5" t="s">
        <v>20</v>
      </c>
      <c r="K3" s="5" t="s">
        <v>20</v>
      </c>
      <c r="L3" s="5" t="s">
        <v>21</v>
      </c>
      <c r="M3" s="5" t="s">
        <v>22</v>
      </c>
      <c r="N3" s="5" t="s">
        <v>23</v>
      </c>
      <c r="O3" s="0" t="str">
        <f aca="false">_xlfn.CONCAT(M3," ",N3)</f>
        <v>45.19198 N  66.31992 W</v>
      </c>
      <c r="P3" s="5" t="s">
        <v>26</v>
      </c>
    </row>
    <row r="4" customFormat="false" ht="17.35" hidden="false" customHeight="false" outlineLevel="0" collapsed="false">
      <c r="A4" s="8" t="s">
        <v>27</v>
      </c>
      <c r="B4" s="9" t="n">
        <v>44816</v>
      </c>
      <c r="C4" s="5" t="s">
        <v>16</v>
      </c>
      <c r="D4" s="5" t="s">
        <v>17</v>
      </c>
      <c r="E4" s="0" t="n">
        <v>0.65</v>
      </c>
      <c r="F4" s="5" t="s">
        <v>18</v>
      </c>
      <c r="G4" s="5" t="s">
        <v>19</v>
      </c>
      <c r="H4" s="0" t="n">
        <v>1</v>
      </c>
      <c r="I4" s="0" t="n">
        <v>6.2</v>
      </c>
      <c r="J4" s="5" t="s">
        <v>20</v>
      </c>
      <c r="K4" s="5" t="s">
        <v>20</v>
      </c>
      <c r="L4" s="5" t="s">
        <v>21</v>
      </c>
      <c r="M4" s="5" t="s">
        <v>22</v>
      </c>
      <c r="N4" s="5" t="s">
        <v>23</v>
      </c>
      <c r="O4" s="0" t="str">
        <f aca="false">_xlfn.CONCAT(M4," ",N4)</f>
        <v>45.19198 N  66.31992 W</v>
      </c>
      <c r="P4" s="5" t="s">
        <v>28</v>
      </c>
    </row>
    <row r="5" customFormat="false" ht="17.35" hidden="false" customHeight="false" outlineLevel="0" collapsed="false">
      <c r="A5" s="8" t="s">
        <v>29</v>
      </c>
      <c r="B5" s="9" t="n">
        <v>44816</v>
      </c>
      <c r="C5" s="5" t="s">
        <v>16</v>
      </c>
      <c r="D5" s="5" t="s">
        <v>17</v>
      </c>
      <c r="E5" s="0" t="n">
        <v>0.8</v>
      </c>
      <c r="F5" s="5" t="s">
        <v>18</v>
      </c>
      <c r="G5" s="5" t="s">
        <v>19</v>
      </c>
      <c r="H5" s="0" t="n">
        <v>1</v>
      </c>
      <c r="I5" s="0" t="n">
        <v>5.8</v>
      </c>
      <c r="J5" s="5" t="s">
        <v>20</v>
      </c>
      <c r="K5" s="5" t="s">
        <v>20</v>
      </c>
      <c r="L5" s="5" t="s">
        <v>21</v>
      </c>
      <c r="M5" s="5" t="s">
        <v>30</v>
      </c>
      <c r="N5" s="5" t="s">
        <v>31</v>
      </c>
      <c r="O5" s="0" t="str">
        <f aca="false">_xlfn.CONCAT(M5," ",N5)</f>
        <v>45.18982 N 66.31968 W</v>
      </c>
      <c r="P5" s="5" t="s">
        <v>32</v>
      </c>
    </row>
    <row r="6" customFormat="false" ht="17.35" hidden="false" customHeight="false" outlineLevel="0" collapsed="false">
      <c r="A6" s="8" t="s">
        <v>33</v>
      </c>
      <c r="B6" s="9" t="n">
        <v>44816</v>
      </c>
      <c r="C6" s="5" t="s">
        <v>16</v>
      </c>
      <c r="D6" s="5" t="s">
        <v>17</v>
      </c>
      <c r="E6" s="0" t="n">
        <v>0.7</v>
      </c>
      <c r="F6" s="5" t="s">
        <v>18</v>
      </c>
      <c r="G6" s="5" t="s">
        <v>19</v>
      </c>
      <c r="H6" s="0" t="n">
        <v>1</v>
      </c>
      <c r="I6" s="0" t="n">
        <v>6.4</v>
      </c>
      <c r="J6" s="5" t="s">
        <v>20</v>
      </c>
      <c r="K6" s="5" t="s">
        <v>20</v>
      </c>
      <c r="L6" s="5" t="s">
        <v>21</v>
      </c>
      <c r="M6" s="10" t="s">
        <v>34</v>
      </c>
      <c r="N6" s="10" t="s">
        <v>35</v>
      </c>
      <c r="O6" s="0" t="str">
        <f aca="false">_xlfn.CONCAT(M6," ",N6)</f>
        <v>45.18288 N 66.31908 W</v>
      </c>
      <c r="P6" s="5" t="s">
        <v>36</v>
      </c>
    </row>
    <row r="7" customFormat="false" ht="17.35" hidden="false" customHeight="false" outlineLevel="0" collapsed="false">
      <c r="A7" s="8" t="s">
        <v>37</v>
      </c>
      <c r="B7" s="9" t="n">
        <v>44816</v>
      </c>
      <c r="C7" s="5" t="s">
        <v>16</v>
      </c>
      <c r="D7" s="5" t="s">
        <v>17</v>
      </c>
      <c r="E7" s="0" t="n">
        <v>0.75</v>
      </c>
      <c r="F7" s="5" t="s">
        <v>18</v>
      </c>
      <c r="G7" s="5" t="s">
        <v>19</v>
      </c>
      <c r="H7" s="0" t="n">
        <v>1</v>
      </c>
      <c r="I7" s="0" t="n">
        <v>6.4</v>
      </c>
      <c r="J7" s="5" t="s">
        <v>20</v>
      </c>
      <c r="K7" s="5" t="s">
        <v>20</v>
      </c>
      <c r="L7" s="5" t="s">
        <v>21</v>
      </c>
      <c r="M7" s="10" t="s">
        <v>34</v>
      </c>
      <c r="N7" s="10" t="s">
        <v>35</v>
      </c>
      <c r="O7" s="0" t="str">
        <f aca="false">_xlfn.CONCAT(M7," ",N7)</f>
        <v>45.18288 N 66.31908 W</v>
      </c>
      <c r="P7" s="5" t="s">
        <v>38</v>
      </c>
    </row>
    <row r="8" customFormat="false" ht="17.35" hidden="false" customHeight="false" outlineLevel="0" collapsed="false">
      <c r="A8" s="8" t="s">
        <v>39</v>
      </c>
      <c r="B8" s="9" t="n">
        <v>44816</v>
      </c>
      <c r="C8" s="5" t="s">
        <v>16</v>
      </c>
      <c r="D8" s="5" t="s">
        <v>17</v>
      </c>
      <c r="E8" s="0" t="n">
        <v>0.7</v>
      </c>
      <c r="F8" s="5" t="s">
        <v>18</v>
      </c>
      <c r="G8" s="5" t="s">
        <v>19</v>
      </c>
      <c r="H8" s="0" t="n">
        <v>1</v>
      </c>
      <c r="I8" s="0" t="n">
        <v>6.4</v>
      </c>
      <c r="J8" s="5" t="s">
        <v>20</v>
      </c>
      <c r="K8" s="5" t="s">
        <v>20</v>
      </c>
      <c r="L8" s="5" t="s">
        <v>21</v>
      </c>
      <c r="M8" s="10" t="s">
        <v>34</v>
      </c>
      <c r="N8" s="10" t="s">
        <v>35</v>
      </c>
      <c r="O8" s="0" t="str">
        <f aca="false">_xlfn.CONCAT(M8," ",N8)</f>
        <v>45.18288 N 66.31908 W</v>
      </c>
      <c r="P8" s="5" t="s">
        <v>40</v>
      </c>
    </row>
    <row r="9" customFormat="false" ht="17.35" hidden="false" customHeight="false" outlineLevel="0" collapsed="false">
      <c r="A9" s="8" t="s">
        <v>41</v>
      </c>
      <c r="B9" s="9" t="n">
        <v>44816</v>
      </c>
      <c r="C9" s="5" t="s">
        <v>16</v>
      </c>
      <c r="D9" s="5" t="s">
        <v>17</v>
      </c>
      <c r="E9" s="0" t="n">
        <v>0.8</v>
      </c>
      <c r="F9" s="5" t="s">
        <v>18</v>
      </c>
      <c r="G9" s="5" t="s">
        <v>19</v>
      </c>
      <c r="H9" s="0" t="n">
        <v>1</v>
      </c>
      <c r="I9" s="0" t="n">
        <v>7.9</v>
      </c>
      <c r="J9" s="5" t="s">
        <v>20</v>
      </c>
      <c r="K9" s="5" t="s">
        <v>20</v>
      </c>
      <c r="L9" s="5" t="s">
        <v>21</v>
      </c>
      <c r="M9" s="10" t="s">
        <v>42</v>
      </c>
      <c r="N9" s="10" t="s">
        <v>43</v>
      </c>
      <c r="O9" s="0" t="str">
        <f aca="false">_xlfn.CONCAT(M9," ",N9)</f>
        <v>45.17537 N 66.31197 W</v>
      </c>
      <c r="P9" s="5" t="s">
        <v>44</v>
      </c>
    </row>
    <row r="10" customFormat="false" ht="17.35" hidden="false" customHeight="false" outlineLevel="0" collapsed="false">
      <c r="A10" s="8" t="s">
        <v>45</v>
      </c>
      <c r="B10" s="9" t="n">
        <v>44816</v>
      </c>
      <c r="C10" s="5" t="s">
        <v>16</v>
      </c>
      <c r="D10" s="5" t="s">
        <v>17</v>
      </c>
      <c r="E10" s="0" t="n">
        <v>0.7</v>
      </c>
      <c r="F10" s="5" t="s">
        <v>18</v>
      </c>
      <c r="G10" s="5" t="s">
        <v>19</v>
      </c>
      <c r="H10" s="0" t="n">
        <v>1</v>
      </c>
      <c r="I10" s="0" t="n">
        <v>7.9</v>
      </c>
      <c r="J10" s="5" t="s">
        <v>20</v>
      </c>
      <c r="K10" s="5" t="s">
        <v>20</v>
      </c>
      <c r="L10" s="5" t="s">
        <v>21</v>
      </c>
      <c r="M10" s="10" t="s">
        <v>42</v>
      </c>
      <c r="N10" s="10" t="s">
        <v>43</v>
      </c>
      <c r="O10" s="0" t="str">
        <f aca="false">_xlfn.CONCAT(M10," ",N10)</f>
        <v>45.17537 N 66.31197 W</v>
      </c>
      <c r="P10" s="5" t="s">
        <v>46</v>
      </c>
    </row>
    <row r="11" customFormat="false" ht="17.35" hidden="false" customHeight="false" outlineLevel="0" collapsed="false">
      <c r="A11" s="8" t="s">
        <v>47</v>
      </c>
      <c r="B11" s="9" t="n">
        <v>44816</v>
      </c>
      <c r="C11" s="5" t="s">
        <v>16</v>
      </c>
      <c r="D11" s="5" t="s">
        <v>17</v>
      </c>
      <c r="E11" s="0" t="n">
        <v>0.6</v>
      </c>
      <c r="F11" s="5" t="s">
        <v>18</v>
      </c>
      <c r="G11" s="5" t="s">
        <v>19</v>
      </c>
      <c r="H11" s="0" t="n">
        <v>1</v>
      </c>
      <c r="I11" s="0" t="n">
        <v>7.7</v>
      </c>
      <c r="J11" s="5" t="s">
        <v>20</v>
      </c>
      <c r="K11" s="5" t="s">
        <v>20</v>
      </c>
      <c r="L11" s="5" t="s">
        <v>21</v>
      </c>
      <c r="M11" s="10" t="s">
        <v>48</v>
      </c>
      <c r="N11" s="10" t="s">
        <v>49</v>
      </c>
      <c r="O11" s="0" t="str">
        <f aca="false">_xlfn.CONCAT(M11," ",N11)</f>
        <v>45.17169 N 66.30805 W</v>
      </c>
      <c r="P11" s="5" t="s">
        <v>50</v>
      </c>
    </row>
    <row r="12" customFormat="false" ht="17.35" hidden="false" customHeight="false" outlineLevel="0" collapsed="false">
      <c r="A12" s="8" t="s">
        <v>51</v>
      </c>
      <c r="B12" s="9" t="n">
        <v>44816</v>
      </c>
      <c r="C12" s="5" t="s">
        <v>16</v>
      </c>
      <c r="D12" s="5" t="s">
        <v>17</v>
      </c>
      <c r="E12" s="0" t="n">
        <v>0.6</v>
      </c>
      <c r="F12" s="5" t="s">
        <v>18</v>
      </c>
      <c r="G12" s="5" t="s">
        <v>19</v>
      </c>
      <c r="H12" s="0" t="n">
        <v>1</v>
      </c>
      <c r="I12" s="0" t="n">
        <v>7.7</v>
      </c>
      <c r="J12" s="5" t="s">
        <v>20</v>
      </c>
      <c r="K12" s="5" t="s">
        <v>20</v>
      </c>
      <c r="L12" s="5" t="s">
        <v>21</v>
      </c>
      <c r="M12" s="10" t="s">
        <v>48</v>
      </c>
      <c r="N12" s="10" t="s">
        <v>49</v>
      </c>
      <c r="O12" s="0" t="str">
        <f aca="false">_xlfn.CONCAT(M12," ",N12)</f>
        <v>45.17169 N 66.30805 W</v>
      </c>
      <c r="P12" s="5" t="s">
        <v>52</v>
      </c>
    </row>
    <row r="13" customFormat="false" ht="17.35" hidden="false" customHeight="false" outlineLevel="0" collapsed="false">
      <c r="A13" s="8" t="s">
        <v>53</v>
      </c>
      <c r="B13" s="9" t="n">
        <v>44816</v>
      </c>
      <c r="C13" s="5" t="s">
        <v>16</v>
      </c>
      <c r="D13" s="5" t="s">
        <v>17</v>
      </c>
      <c r="E13" s="0" t="n">
        <v>0.7</v>
      </c>
      <c r="F13" s="5" t="s">
        <v>18</v>
      </c>
      <c r="G13" s="5" t="s">
        <v>19</v>
      </c>
      <c r="H13" s="0" t="n">
        <v>1</v>
      </c>
      <c r="I13" s="0" t="n">
        <v>6.3</v>
      </c>
      <c r="J13" s="5" t="s">
        <v>20</v>
      </c>
      <c r="K13" s="5" t="s">
        <v>20</v>
      </c>
      <c r="L13" s="5" t="s">
        <v>21</v>
      </c>
      <c r="M13" s="10" t="s">
        <v>54</v>
      </c>
      <c r="N13" s="5" t="s">
        <v>55</v>
      </c>
      <c r="O13" s="0" t="str">
        <f aca="false">_xlfn.CONCAT(M13," ",N13)</f>
        <v>45.16940 N 66.30277 W</v>
      </c>
      <c r="P13" s="5" t="s">
        <v>56</v>
      </c>
    </row>
    <row r="14" customFormat="false" ht="17.35" hidden="false" customHeight="false" outlineLevel="0" collapsed="false">
      <c r="A14" s="8" t="s">
        <v>57</v>
      </c>
      <c r="B14" s="9" t="n">
        <v>44816</v>
      </c>
      <c r="C14" s="5" t="s">
        <v>16</v>
      </c>
      <c r="D14" s="5" t="s">
        <v>17</v>
      </c>
      <c r="E14" s="0" t="n">
        <v>0.75</v>
      </c>
      <c r="F14" s="5" t="s">
        <v>18</v>
      </c>
      <c r="G14" s="5" t="s">
        <v>19</v>
      </c>
      <c r="H14" s="0" t="n">
        <v>1</v>
      </c>
      <c r="I14" s="0" t="n">
        <v>6.3</v>
      </c>
      <c r="J14" s="5" t="s">
        <v>20</v>
      </c>
      <c r="K14" s="5" t="s">
        <v>20</v>
      </c>
      <c r="L14" s="5" t="s">
        <v>21</v>
      </c>
      <c r="M14" s="10" t="s">
        <v>54</v>
      </c>
      <c r="N14" s="5" t="s">
        <v>55</v>
      </c>
      <c r="O14" s="0" t="str">
        <f aca="false">_xlfn.CONCAT(M14," ",N14)</f>
        <v>45.16940 N 66.30277 W</v>
      </c>
      <c r="P14" s="5" t="s">
        <v>58</v>
      </c>
    </row>
    <row r="15" customFormat="false" ht="17.35" hidden="false" customHeight="false" outlineLevel="0" collapsed="false">
      <c r="A15" s="8" t="s">
        <v>59</v>
      </c>
      <c r="B15" s="9" t="n">
        <v>44816</v>
      </c>
      <c r="C15" s="5" t="s">
        <v>16</v>
      </c>
      <c r="D15" s="5" t="s">
        <v>17</v>
      </c>
      <c r="E15" s="0" t="n">
        <v>0.6</v>
      </c>
      <c r="F15" s="5" t="s">
        <v>18</v>
      </c>
      <c r="G15" s="5" t="s">
        <v>19</v>
      </c>
      <c r="H15" s="0" t="n">
        <v>6</v>
      </c>
      <c r="I15" s="0" t="n">
        <v>6.3</v>
      </c>
      <c r="J15" s="5" t="s">
        <v>20</v>
      </c>
      <c r="K15" s="5" t="s">
        <v>20</v>
      </c>
      <c r="L15" s="5" t="s">
        <v>21</v>
      </c>
      <c r="M15" s="10" t="s">
        <v>54</v>
      </c>
      <c r="N15" s="5" t="s">
        <v>55</v>
      </c>
      <c r="O15" s="0" t="str">
        <f aca="false">_xlfn.CONCAT(M15," ",N15)</f>
        <v>45.16940 N 66.30277 W</v>
      </c>
      <c r="P15" s="5" t="s">
        <v>60</v>
      </c>
    </row>
    <row r="16" customFormat="false" ht="17.35" hidden="false" customHeight="false" outlineLevel="0" collapsed="false">
      <c r="A16" s="8" t="s">
        <v>61</v>
      </c>
      <c r="B16" s="9" t="n">
        <v>44816</v>
      </c>
      <c r="C16" s="5" t="s">
        <v>16</v>
      </c>
      <c r="D16" s="5" t="s">
        <v>17</v>
      </c>
      <c r="E16" s="0" t="n">
        <v>0.65</v>
      </c>
      <c r="F16" s="5" t="s">
        <v>18</v>
      </c>
      <c r="G16" s="5" t="s">
        <v>19</v>
      </c>
      <c r="H16" s="0" t="n">
        <v>1</v>
      </c>
      <c r="I16" s="0" t="n">
        <v>6.6</v>
      </c>
      <c r="J16" s="5" t="s">
        <v>20</v>
      </c>
      <c r="K16" s="5" t="s">
        <v>20</v>
      </c>
      <c r="L16" s="5" t="s">
        <v>21</v>
      </c>
      <c r="M16" s="10" t="s">
        <v>62</v>
      </c>
      <c r="N16" s="10" t="s">
        <v>63</v>
      </c>
      <c r="O16" s="0" t="str">
        <f aca="false">_xlfn.CONCAT(M16," ",N16)</f>
        <v>45.17898 N 66.29429 W</v>
      </c>
      <c r="P16" s="5" t="s">
        <v>64</v>
      </c>
    </row>
    <row r="17" customFormat="false" ht="17.35" hidden="false" customHeight="false" outlineLevel="0" collapsed="false">
      <c r="A17" s="8" t="s">
        <v>65</v>
      </c>
      <c r="B17" s="9" t="n">
        <v>44816</v>
      </c>
      <c r="C17" s="5" t="s">
        <v>16</v>
      </c>
      <c r="D17" s="5" t="s">
        <v>17</v>
      </c>
      <c r="E17" s="0" t="n">
        <v>0.6</v>
      </c>
      <c r="F17" s="5" t="s">
        <v>18</v>
      </c>
      <c r="G17" s="5" t="s">
        <v>19</v>
      </c>
      <c r="H17" s="0" t="n">
        <v>1</v>
      </c>
      <c r="I17" s="0" t="n">
        <v>6.6</v>
      </c>
      <c r="J17" s="5" t="s">
        <v>20</v>
      </c>
      <c r="K17" s="5" t="s">
        <v>20</v>
      </c>
      <c r="L17" s="5" t="s">
        <v>21</v>
      </c>
      <c r="M17" s="10" t="s">
        <v>62</v>
      </c>
      <c r="N17" s="10" t="s">
        <v>63</v>
      </c>
      <c r="O17" s="0" t="str">
        <f aca="false">_xlfn.CONCAT(M17," ",N17)</f>
        <v>45.17898 N 66.29429 W</v>
      </c>
      <c r="P17" s="5" t="s">
        <v>66</v>
      </c>
    </row>
    <row r="18" customFormat="false" ht="17.35" hidden="false" customHeight="false" outlineLevel="0" collapsed="false">
      <c r="A18" s="8" t="s">
        <v>67</v>
      </c>
      <c r="B18" s="9" t="n">
        <v>44816</v>
      </c>
      <c r="C18" s="5" t="s">
        <v>16</v>
      </c>
      <c r="D18" s="5" t="s">
        <v>17</v>
      </c>
      <c r="E18" s="0" t="n">
        <v>0.6</v>
      </c>
      <c r="F18" s="5" t="s">
        <v>18</v>
      </c>
      <c r="G18" s="5" t="s">
        <v>19</v>
      </c>
      <c r="H18" s="0" t="n">
        <v>1</v>
      </c>
      <c r="I18" s="0" t="n">
        <v>6.6</v>
      </c>
      <c r="J18" s="5" t="s">
        <v>20</v>
      </c>
      <c r="K18" s="5" t="s">
        <v>20</v>
      </c>
      <c r="L18" s="5" t="s">
        <v>21</v>
      </c>
      <c r="M18" s="10" t="s">
        <v>62</v>
      </c>
      <c r="N18" s="10" t="s">
        <v>63</v>
      </c>
      <c r="O18" s="0" t="str">
        <f aca="false">_xlfn.CONCAT(M18," ",N18)</f>
        <v>45.17898 N 66.29429 W</v>
      </c>
      <c r="P18" s="5" t="s">
        <v>68</v>
      </c>
    </row>
    <row r="19" customFormat="false" ht="17.35" hidden="false" customHeight="false" outlineLevel="0" collapsed="false">
      <c r="A19" s="8" t="s">
        <v>69</v>
      </c>
      <c r="B19" s="9" t="n">
        <v>44816</v>
      </c>
      <c r="C19" s="5" t="s">
        <v>16</v>
      </c>
      <c r="D19" s="5" t="s">
        <v>17</v>
      </c>
      <c r="E19" s="0" t="n">
        <v>0.65</v>
      </c>
      <c r="F19" s="5" t="s">
        <v>18</v>
      </c>
      <c r="G19" s="5" t="s">
        <v>19</v>
      </c>
      <c r="H19" s="0" t="n">
        <v>1</v>
      </c>
      <c r="I19" s="0" t="n">
        <v>6</v>
      </c>
      <c r="J19" s="5" t="s">
        <v>20</v>
      </c>
      <c r="K19" s="5" t="s">
        <v>20</v>
      </c>
      <c r="L19" s="5" t="s">
        <v>21</v>
      </c>
      <c r="M19" s="10" t="s">
        <v>70</v>
      </c>
      <c r="N19" s="10" t="s">
        <v>71</v>
      </c>
      <c r="O19" s="0" t="str">
        <f aca="false">_xlfn.CONCAT(M19," ",N19)</f>
        <v>45.18655 N 66.28346 W</v>
      </c>
      <c r="P19" s="5" t="s">
        <v>72</v>
      </c>
    </row>
    <row r="20" customFormat="false" ht="17.35" hidden="false" customHeight="false" outlineLevel="0" collapsed="false">
      <c r="A20" s="8" t="s">
        <v>73</v>
      </c>
      <c r="B20" s="9" t="n">
        <v>44816</v>
      </c>
      <c r="C20" s="5" t="s">
        <v>16</v>
      </c>
      <c r="D20" s="5" t="s">
        <v>17</v>
      </c>
      <c r="E20" s="0" t="n">
        <v>0.6</v>
      </c>
      <c r="F20" s="5" t="s">
        <v>18</v>
      </c>
      <c r="G20" s="5" t="s">
        <v>19</v>
      </c>
      <c r="H20" s="0" t="n">
        <v>1</v>
      </c>
      <c r="I20" s="0" t="n">
        <v>6</v>
      </c>
      <c r="J20" s="5" t="s">
        <v>20</v>
      </c>
      <c r="K20" s="5" t="s">
        <v>20</v>
      </c>
      <c r="L20" s="5" t="s">
        <v>21</v>
      </c>
      <c r="M20" s="10" t="s">
        <v>70</v>
      </c>
      <c r="N20" s="10" t="s">
        <v>71</v>
      </c>
      <c r="O20" s="0" t="str">
        <f aca="false">_xlfn.CONCAT(M20," ",N20)</f>
        <v>45.18655 N 66.28346 W</v>
      </c>
      <c r="P20" s="5" t="s">
        <v>74</v>
      </c>
    </row>
    <row r="21" customFormat="false" ht="17.35" hidden="false" customHeight="false" outlineLevel="0" collapsed="false">
      <c r="A21" s="8" t="s">
        <v>75</v>
      </c>
      <c r="B21" s="9" t="n">
        <v>44816</v>
      </c>
      <c r="C21" s="5" t="s">
        <v>16</v>
      </c>
      <c r="D21" s="5" t="s">
        <v>17</v>
      </c>
      <c r="E21" s="0" t="n">
        <v>0.65</v>
      </c>
      <c r="F21" s="5" t="s">
        <v>18</v>
      </c>
      <c r="G21" s="5" t="s">
        <v>19</v>
      </c>
      <c r="H21" s="0" t="n">
        <v>1</v>
      </c>
      <c r="I21" s="0" t="n">
        <v>6</v>
      </c>
      <c r="J21" s="5" t="s">
        <v>20</v>
      </c>
      <c r="K21" s="5" t="s">
        <v>20</v>
      </c>
      <c r="L21" s="5" t="s">
        <v>21</v>
      </c>
      <c r="M21" s="10" t="s">
        <v>70</v>
      </c>
      <c r="N21" s="10" t="s">
        <v>71</v>
      </c>
      <c r="O21" s="0" t="str">
        <f aca="false">_xlfn.CONCAT(M21," ",N21)</f>
        <v>45.18655 N 66.28346 W</v>
      </c>
      <c r="P21" s="5" t="s">
        <v>76</v>
      </c>
    </row>
    <row r="22" customFormat="false" ht="17.35" hidden="false" customHeight="false" outlineLevel="0" collapsed="false">
      <c r="A22" s="8" t="s">
        <v>77</v>
      </c>
      <c r="B22" s="9" t="n">
        <v>44816</v>
      </c>
      <c r="C22" s="5" t="s">
        <v>16</v>
      </c>
      <c r="D22" s="5" t="s">
        <v>17</v>
      </c>
      <c r="E22" s="0" t="n">
        <v>0.65</v>
      </c>
      <c r="F22" s="5" t="s">
        <v>18</v>
      </c>
      <c r="G22" s="5" t="s">
        <v>19</v>
      </c>
      <c r="H22" s="0" t="n">
        <v>1</v>
      </c>
      <c r="I22" s="0" t="n">
        <v>4</v>
      </c>
      <c r="J22" s="5" t="s">
        <v>20</v>
      </c>
      <c r="K22" s="5" t="s">
        <v>20</v>
      </c>
      <c r="L22" s="5" t="s">
        <v>21</v>
      </c>
      <c r="M22" s="10" t="s">
        <v>78</v>
      </c>
      <c r="N22" s="10" t="s">
        <v>79</v>
      </c>
      <c r="O22" s="0" t="str">
        <f aca="false">_xlfn.CONCAT(M22," ",N22)</f>
        <v>45.19069 N 66.28051 W</v>
      </c>
      <c r="P22" s="5" t="s">
        <v>80</v>
      </c>
    </row>
    <row r="23" customFormat="false" ht="17.35" hidden="false" customHeight="false" outlineLevel="0" collapsed="false">
      <c r="A23" s="8" t="s">
        <v>81</v>
      </c>
      <c r="B23" s="9" t="n">
        <v>44816</v>
      </c>
      <c r="C23" s="5" t="s">
        <v>16</v>
      </c>
      <c r="D23" s="5" t="s">
        <v>17</v>
      </c>
      <c r="E23" s="0" t="n">
        <v>0.8</v>
      </c>
      <c r="F23" s="5" t="s">
        <v>18</v>
      </c>
      <c r="G23" s="5" t="s">
        <v>19</v>
      </c>
      <c r="H23" s="0" t="n">
        <v>1</v>
      </c>
      <c r="I23" s="0" t="n">
        <v>4</v>
      </c>
      <c r="J23" s="5" t="s">
        <v>20</v>
      </c>
      <c r="K23" s="5" t="s">
        <v>20</v>
      </c>
      <c r="L23" s="5" t="s">
        <v>21</v>
      </c>
      <c r="M23" s="10" t="s">
        <v>78</v>
      </c>
      <c r="N23" s="10" t="s">
        <v>79</v>
      </c>
      <c r="O23" s="0" t="str">
        <f aca="false">_xlfn.CONCAT(M23," ",N23)</f>
        <v>45.19069 N 66.28051 W</v>
      </c>
      <c r="P23" s="5" t="s">
        <v>82</v>
      </c>
    </row>
    <row r="24" customFormat="false" ht="17.35" hidden="false" customHeight="false" outlineLevel="0" collapsed="false">
      <c r="A24" s="8" t="s">
        <v>83</v>
      </c>
      <c r="B24" s="9" t="n">
        <v>44816</v>
      </c>
      <c r="C24" s="5" t="s">
        <v>16</v>
      </c>
      <c r="D24" s="5" t="s">
        <v>17</v>
      </c>
      <c r="E24" s="0" t="n">
        <v>0.85</v>
      </c>
      <c r="F24" s="5" t="s">
        <v>18</v>
      </c>
      <c r="G24" s="5" t="s">
        <v>19</v>
      </c>
      <c r="H24" s="0" t="n">
        <v>1</v>
      </c>
      <c r="I24" s="0" t="n">
        <v>9.2</v>
      </c>
      <c r="J24" s="5" t="s">
        <v>20</v>
      </c>
      <c r="K24" s="5" t="s">
        <v>20</v>
      </c>
      <c r="L24" s="5" t="s">
        <v>21</v>
      </c>
      <c r="M24" s="10" t="s">
        <v>84</v>
      </c>
      <c r="N24" s="10" t="s">
        <v>85</v>
      </c>
      <c r="O24" s="0" t="str">
        <f aca="false">_xlfn.CONCAT(M24," ",N24)</f>
        <v>45.19024 N 66.26321 W</v>
      </c>
      <c r="P24" s="5" t="s">
        <v>86</v>
      </c>
    </row>
    <row r="25" customFormat="false" ht="17.35" hidden="false" customHeight="false" outlineLevel="0" collapsed="false">
      <c r="A25" s="8" t="s">
        <v>87</v>
      </c>
      <c r="B25" s="9" t="n">
        <v>44816</v>
      </c>
      <c r="C25" s="5" t="s">
        <v>16</v>
      </c>
      <c r="D25" s="5" t="s">
        <v>17</v>
      </c>
      <c r="E25" s="0" t="n">
        <v>0.65</v>
      </c>
      <c r="F25" s="5" t="s">
        <v>18</v>
      </c>
      <c r="G25" s="5" t="s">
        <v>19</v>
      </c>
      <c r="H25" s="0" t="n">
        <v>1</v>
      </c>
      <c r="I25" s="0" t="n">
        <v>9.2</v>
      </c>
      <c r="J25" s="5" t="s">
        <v>20</v>
      </c>
      <c r="K25" s="5" t="s">
        <v>20</v>
      </c>
      <c r="L25" s="5" t="s">
        <v>21</v>
      </c>
      <c r="M25" s="10" t="s">
        <v>84</v>
      </c>
      <c r="N25" s="10" t="s">
        <v>85</v>
      </c>
      <c r="O25" s="0" t="str">
        <f aca="false">_xlfn.CONCAT(M25," ",N25)</f>
        <v>45.19024 N 66.26321 W</v>
      </c>
      <c r="P25" s="5" t="s">
        <v>88</v>
      </c>
    </row>
    <row r="26" customFormat="false" ht="17.35" hidden="false" customHeight="false" outlineLevel="0" collapsed="false">
      <c r="A26" s="8" t="s">
        <v>89</v>
      </c>
      <c r="B26" s="9" t="n">
        <v>44816</v>
      </c>
      <c r="C26" s="5" t="s">
        <v>16</v>
      </c>
      <c r="D26" s="5" t="s">
        <v>17</v>
      </c>
      <c r="E26" s="0" t="n">
        <v>0.6</v>
      </c>
      <c r="F26" s="5" t="s">
        <v>18</v>
      </c>
      <c r="G26" s="5" t="s">
        <v>19</v>
      </c>
      <c r="H26" s="0" t="n">
        <v>1</v>
      </c>
      <c r="I26" s="0" t="n">
        <v>9.2</v>
      </c>
      <c r="J26" s="5" t="s">
        <v>20</v>
      </c>
      <c r="K26" s="5" t="s">
        <v>20</v>
      </c>
      <c r="L26" s="5" t="s">
        <v>21</v>
      </c>
      <c r="M26" s="10" t="s">
        <v>84</v>
      </c>
      <c r="N26" s="10" t="s">
        <v>85</v>
      </c>
      <c r="O26" s="0" t="str">
        <f aca="false">_xlfn.CONCAT(M26," ",N26)</f>
        <v>45.19024 N 66.26321 W</v>
      </c>
      <c r="P26" s="5" t="s">
        <v>90</v>
      </c>
    </row>
    <row r="27" customFormat="false" ht="17.35" hidden="false" customHeight="false" outlineLevel="0" collapsed="false">
      <c r="A27" s="8" t="s">
        <v>91</v>
      </c>
      <c r="B27" s="9" t="n">
        <v>44817</v>
      </c>
      <c r="C27" s="5" t="s">
        <v>16</v>
      </c>
      <c r="D27" s="5" t="s">
        <v>17</v>
      </c>
      <c r="E27" s="0" t="n">
        <v>0.3</v>
      </c>
      <c r="F27" s="5" t="s">
        <v>18</v>
      </c>
      <c r="G27" s="5" t="s">
        <v>19</v>
      </c>
      <c r="H27" s="0" t="n">
        <v>11</v>
      </c>
      <c r="I27" s="0" t="n">
        <v>17.2</v>
      </c>
      <c r="J27" s="5" t="s">
        <v>20</v>
      </c>
      <c r="K27" s="5" t="s">
        <v>20</v>
      </c>
      <c r="L27" s="5" t="s">
        <v>21</v>
      </c>
      <c r="M27" s="10" t="s">
        <v>92</v>
      </c>
      <c r="N27" s="10" t="s">
        <v>93</v>
      </c>
      <c r="O27" s="0" t="str">
        <f aca="false">_xlfn.CONCAT(M27," ",N27)</f>
        <v>45.18728 N 66.25850 W</v>
      </c>
      <c r="P27" s="5" t="s">
        <v>94</v>
      </c>
    </row>
    <row r="28" customFormat="false" ht="17.35" hidden="false" customHeight="false" outlineLevel="0" collapsed="false">
      <c r="A28" s="8" t="s">
        <v>95</v>
      </c>
      <c r="B28" s="9" t="n">
        <v>44817</v>
      </c>
      <c r="C28" s="5" t="s">
        <v>16</v>
      </c>
      <c r="D28" s="5" t="s">
        <v>17</v>
      </c>
      <c r="E28" s="0" t="n">
        <v>0.7</v>
      </c>
      <c r="F28" s="5" t="s">
        <v>18</v>
      </c>
      <c r="G28" s="5" t="s">
        <v>19</v>
      </c>
      <c r="H28" s="0" t="n">
        <v>11</v>
      </c>
      <c r="I28" s="0" t="n">
        <v>17.2</v>
      </c>
      <c r="J28" s="5" t="s">
        <v>20</v>
      </c>
      <c r="K28" s="5" t="s">
        <v>20</v>
      </c>
      <c r="L28" s="5" t="s">
        <v>21</v>
      </c>
      <c r="M28" s="10" t="s">
        <v>92</v>
      </c>
      <c r="N28" s="10" t="s">
        <v>93</v>
      </c>
      <c r="O28" s="0" t="str">
        <f aca="false">_xlfn.CONCAT(M28," ",N28)</f>
        <v>45.18728 N 66.25850 W</v>
      </c>
      <c r="P28" s="5" t="s">
        <v>96</v>
      </c>
    </row>
    <row r="29" customFormat="false" ht="17.35" hidden="false" customHeight="false" outlineLevel="0" collapsed="false">
      <c r="A29" s="8" t="s">
        <v>97</v>
      </c>
      <c r="B29" s="9" t="n">
        <v>44817</v>
      </c>
      <c r="C29" s="5" t="s">
        <v>16</v>
      </c>
      <c r="D29" s="5" t="s">
        <v>17</v>
      </c>
      <c r="E29" s="0" t="n">
        <v>0.8</v>
      </c>
      <c r="F29" s="5" t="s">
        <v>18</v>
      </c>
      <c r="G29" s="5" t="s">
        <v>19</v>
      </c>
      <c r="H29" s="0" t="n">
        <v>11</v>
      </c>
      <c r="I29" s="0" t="n">
        <v>17.2</v>
      </c>
      <c r="J29" s="5" t="s">
        <v>20</v>
      </c>
      <c r="K29" s="5" t="s">
        <v>20</v>
      </c>
      <c r="L29" s="5" t="s">
        <v>21</v>
      </c>
      <c r="M29" s="10" t="s">
        <v>92</v>
      </c>
      <c r="N29" s="10" t="s">
        <v>93</v>
      </c>
      <c r="O29" s="0" t="str">
        <f aca="false">_xlfn.CONCAT(M29," ",N29)</f>
        <v>45.18728 N 66.25850 W</v>
      </c>
      <c r="P29" s="5" t="s">
        <v>98</v>
      </c>
    </row>
    <row r="30" customFormat="false" ht="17.35" hidden="false" customHeight="false" outlineLevel="0" collapsed="false">
      <c r="A30" s="8" t="s">
        <v>99</v>
      </c>
      <c r="B30" s="9" t="n">
        <v>44817</v>
      </c>
      <c r="C30" s="5" t="s">
        <v>16</v>
      </c>
      <c r="D30" s="5" t="s">
        <v>17</v>
      </c>
      <c r="E30" s="0" t="n">
        <v>0.75</v>
      </c>
      <c r="F30" s="5" t="s">
        <v>18</v>
      </c>
      <c r="G30" s="5" t="s">
        <v>19</v>
      </c>
      <c r="H30" s="0" t="n">
        <v>1</v>
      </c>
      <c r="I30" s="0" t="n">
        <v>5.7</v>
      </c>
      <c r="J30" s="5" t="s">
        <v>20</v>
      </c>
      <c r="K30" s="5" t="s">
        <v>20</v>
      </c>
      <c r="L30" s="5" t="s">
        <v>21</v>
      </c>
      <c r="M30" s="10" t="s">
        <v>100</v>
      </c>
      <c r="N30" s="10" t="s">
        <v>101</v>
      </c>
      <c r="O30" s="0" t="str">
        <f aca="false">_xlfn.CONCAT(M30," ",N30)</f>
        <v>45.18092 N 66.24884 W</v>
      </c>
      <c r="P30" s="5" t="s">
        <v>102</v>
      </c>
    </row>
    <row r="31" customFormat="false" ht="17.35" hidden="false" customHeight="false" outlineLevel="0" collapsed="false">
      <c r="A31" s="8" t="s">
        <v>103</v>
      </c>
      <c r="B31" s="9" t="n">
        <v>44817</v>
      </c>
      <c r="C31" s="5" t="s">
        <v>16</v>
      </c>
      <c r="D31" s="5" t="s">
        <v>17</v>
      </c>
      <c r="E31" s="0" t="n">
        <v>0.8</v>
      </c>
      <c r="F31" s="5" t="s">
        <v>18</v>
      </c>
      <c r="G31" s="5" t="s">
        <v>19</v>
      </c>
      <c r="H31" s="0" t="n">
        <v>1</v>
      </c>
      <c r="I31" s="0" t="n">
        <v>5.7</v>
      </c>
      <c r="J31" s="5" t="s">
        <v>20</v>
      </c>
      <c r="K31" s="5" t="s">
        <v>20</v>
      </c>
      <c r="L31" s="5" t="s">
        <v>21</v>
      </c>
      <c r="M31" s="10" t="s">
        <v>100</v>
      </c>
      <c r="N31" s="10" t="s">
        <v>101</v>
      </c>
      <c r="O31" s="0" t="str">
        <f aca="false">_xlfn.CONCAT(M31," ",N31)</f>
        <v>45.18092 N 66.24884 W</v>
      </c>
      <c r="P31" s="5" t="s">
        <v>104</v>
      </c>
    </row>
    <row r="32" customFormat="false" ht="17.35" hidden="false" customHeight="false" outlineLevel="0" collapsed="false">
      <c r="A32" s="8" t="s">
        <v>105</v>
      </c>
      <c r="B32" s="9" t="n">
        <v>44817</v>
      </c>
      <c r="C32" s="5" t="s">
        <v>16</v>
      </c>
      <c r="D32" s="5" t="s">
        <v>17</v>
      </c>
      <c r="E32" s="0" t="n">
        <v>0.75</v>
      </c>
      <c r="F32" s="5" t="s">
        <v>18</v>
      </c>
      <c r="G32" s="5" t="s">
        <v>19</v>
      </c>
      <c r="H32" s="0" t="n">
        <v>1</v>
      </c>
      <c r="I32" s="0" t="n">
        <v>5.7</v>
      </c>
      <c r="J32" s="5" t="s">
        <v>20</v>
      </c>
      <c r="K32" s="5" t="s">
        <v>20</v>
      </c>
      <c r="L32" s="5" t="s">
        <v>21</v>
      </c>
      <c r="M32" s="10" t="s">
        <v>100</v>
      </c>
      <c r="N32" s="10" t="s">
        <v>101</v>
      </c>
      <c r="O32" s="0" t="str">
        <f aca="false">_xlfn.CONCAT(M32," ",N32)</f>
        <v>45.18092 N 66.24884 W</v>
      </c>
      <c r="P32" s="5" t="s">
        <v>106</v>
      </c>
    </row>
    <row r="33" customFormat="false" ht="17.35" hidden="false" customHeight="false" outlineLevel="0" collapsed="false">
      <c r="A33" s="8" t="s">
        <v>107</v>
      </c>
      <c r="B33" s="9" t="n">
        <v>44817</v>
      </c>
      <c r="C33" s="5" t="s">
        <v>16</v>
      </c>
      <c r="D33" s="5" t="s">
        <v>17</v>
      </c>
      <c r="E33" s="0" t="n">
        <v>0.65</v>
      </c>
      <c r="F33" s="5" t="s">
        <v>18</v>
      </c>
      <c r="G33" s="5" t="s">
        <v>19</v>
      </c>
      <c r="H33" s="0" t="n">
        <v>1</v>
      </c>
      <c r="I33" s="0" t="n">
        <v>5.3</v>
      </c>
      <c r="J33" s="5" t="s">
        <v>20</v>
      </c>
      <c r="K33" s="5" t="s">
        <v>20</v>
      </c>
      <c r="L33" s="5" t="s">
        <v>21</v>
      </c>
      <c r="M33" s="10" t="s">
        <v>108</v>
      </c>
      <c r="N33" s="10" t="s">
        <v>109</v>
      </c>
      <c r="O33" s="0" t="str">
        <f aca="false">_xlfn.CONCAT(M33," ",N33)</f>
        <v>45.17369 N 66.24174 W</v>
      </c>
      <c r="P33" s="5" t="s">
        <v>110</v>
      </c>
    </row>
    <row r="34" customFormat="false" ht="17.35" hidden="false" customHeight="false" outlineLevel="0" collapsed="false">
      <c r="A34" s="8" t="s">
        <v>111</v>
      </c>
      <c r="B34" s="9" t="n">
        <v>44817</v>
      </c>
      <c r="C34" s="5" t="s">
        <v>16</v>
      </c>
      <c r="D34" s="5" t="s">
        <v>17</v>
      </c>
      <c r="E34" s="0" t="n">
        <v>0.7</v>
      </c>
      <c r="F34" s="5" t="s">
        <v>18</v>
      </c>
      <c r="G34" s="5" t="s">
        <v>19</v>
      </c>
      <c r="H34" s="0" t="n">
        <v>1</v>
      </c>
      <c r="I34" s="0" t="n">
        <v>5.3</v>
      </c>
      <c r="J34" s="5" t="s">
        <v>20</v>
      </c>
      <c r="K34" s="5" t="s">
        <v>20</v>
      </c>
      <c r="L34" s="5" t="s">
        <v>21</v>
      </c>
      <c r="M34" s="10" t="s">
        <v>108</v>
      </c>
      <c r="N34" s="10" t="s">
        <v>109</v>
      </c>
      <c r="O34" s="0" t="str">
        <f aca="false">_xlfn.CONCAT(M34," ",N34)</f>
        <v>45.17369 N 66.24174 W</v>
      </c>
      <c r="P34" s="5" t="s">
        <v>112</v>
      </c>
    </row>
    <row r="35" customFormat="false" ht="17.35" hidden="false" customHeight="false" outlineLevel="0" collapsed="false">
      <c r="A35" s="8" t="s">
        <v>113</v>
      </c>
      <c r="B35" s="9" t="n">
        <v>44817</v>
      </c>
      <c r="C35" s="5" t="s">
        <v>16</v>
      </c>
      <c r="D35" s="5" t="s">
        <v>17</v>
      </c>
      <c r="E35" s="0" t="n">
        <v>0.8</v>
      </c>
      <c r="F35" s="5" t="s">
        <v>18</v>
      </c>
      <c r="G35" s="5" t="s">
        <v>19</v>
      </c>
      <c r="H35" s="0" t="n">
        <v>1</v>
      </c>
      <c r="I35" s="0" t="n">
        <v>5.3</v>
      </c>
      <c r="J35" s="5" t="s">
        <v>20</v>
      </c>
      <c r="K35" s="5" t="s">
        <v>20</v>
      </c>
      <c r="L35" s="5" t="s">
        <v>21</v>
      </c>
      <c r="M35" s="10" t="s">
        <v>108</v>
      </c>
      <c r="N35" s="10" t="s">
        <v>109</v>
      </c>
      <c r="O35" s="0" t="str">
        <f aca="false">_xlfn.CONCAT(M35," ",N35)</f>
        <v>45.17369 N 66.24174 W</v>
      </c>
      <c r="P35" s="5" t="s">
        <v>114</v>
      </c>
    </row>
    <row r="36" customFormat="false" ht="17.35" hidden="false" customHeight="false" outlineLevel="0" collapsed="false">
      <c r="A36" s="8" t="s">
        <v>115</v>
      </c>
      <c r="B36" s="9" t="n">
        <v>44817</v>
      </c>
      <c r="C36" s="5" t="s">
        <v>16</v>
      </c>
      <c r="D36" s="5" t="s">
        <v>17</v>
      </c>
      <c r="E36" s="0" t="n">
        <v>0.85</v>
      </c>
      <c r="F36" s="5" t="s">
        <v>18</v>
      </c>
      <c r="G36" s="5" t="s">
        <v>19</v>
      </c>
      <c r="H36" s="0" t="n">
        <v>1</v>
      </c>
      <c r="I36" s="0" t="n">
        <v>5.5</v>
      </c>
      <c r="J36" s="5" t="s">
        <v>20</v>
      </c>
      <c r="K36" s="5" t="s">
        <v>20</v>
      </c>
      <c r="L36" s="5" t="s">
        <v>21</v>
      </c>
      <c r="M36" s="10" t="s">
        <v>116</v>
      </c>
      <c r="N36" s="10" t="s">
        <v>117</v>
      </c>
      <c r="O36" s="0" t="str">
        <f aca="false">_xlfn.CONCAT(M36," ",N36)</f>
        <v>45.16529 N 66.24461 W</v>
      </c>
      <c r="P36" s="5" t="s">
        <v>118</v>
      </c>
    </row>
    <row r="37" customFormat="false" ht="17.35" hidden="false" customHeight="false" outlineLevel="0" collapsed="false">
      <c r="A37" s="8" t="s">
        <v>119</v>
      </c>
      <c r="B37" s="9" t="n">
        <v>44817</v>
      </c>
      <c r="C37" s="5" t="s">
        <v>16</v>
      </c>
      <c r="D37" s="5" t="s">
        <v>17</v>
      </c>
      <c r="E37" s="0" t="n">
        <v>0.7</v>
      </c>
      <c r="F37" s="5" t="s">
        <v>18</v>
      </c>
      <c r="G37" s="5" t="s">
        <v>19</v>
      </c>
      <c r="H37" s="0" t="n">
        <v>1</v>
      </c>
      <c r="I37" s="0" t="n">
        <v>5.5</v>
      </c>
      <c r="J37" s="5" t="s">
        <v>20</v>
      </c>
      <c r="K37" s="5" t="s">
        <v>20</v>
      </c>
      <c r="L37" s="5" t="s">
        <v>21</v>
      </c>
      <c r="M37" s="10" t="s">
        <v>116</v>
      </c>
      <c r="N37" s="10" t="s">
        <v>117</v>
      </c>
      <c r="O37" s="0" t="str">
        <f aca="false">_xlfn.CONCAT(M37," ",N37)</f>
        <v>45.16529 N 66.24461 W</v>
      </c>
      <c r="P37" s="5" t="s">
        <v>120</v>
      </c>
    </row>
    <row r="38" customFormat="false" ht="17.35" hidden="false" customHeight="false" outlineLevel="0" collapsed="false">
      <c r="A38" s="8" t="s">
        <v>121</v>
      </c>
      <c r="B38" s="9" t="n">
        <v>44817</v>
      </c>
      <c r="C38" s="5" t="s">
        <v>16</v>
      </c>
      <c r="D38" s="5" t="s">
        <v>17</v>
      </c>
      <c r="E38" s="0" t="n">
        <v>0.8</v>
      </c>
      <c r="F38" s="5" t="s">
        <v>18</v>
      </c>
      <c r="G38" s="5" t="s">
        <v>19</v>
      </c>
      <c r="H38" s="0" t="n">
        <v>1</v>
      </c>
      <c r="I38" s="0" t="n">
        <v>7.1</v>
      </c>
      <c r="J38" s="5" t="s">
        <v>20</v>
      </c>
      <c r="K38" s="5" t="s">
        <v>20</v>
      </c>
      <c r="L38" s="5" t="s">
        <v>21</v>
      </c>
      <c r="M38" s="10" t="s">
        <v>122</v>
      </c>
      <c r="N38" s="10" t="s">
        <v>123</v>
      </c>
      <c r="O38" s="0" t="str">
        <f aca="false">_xlfn.CONCAT(M38," ",N38)</f>
        <v>45.15721 N 66.24971 W</v>
      </c>
      <c r="P38" s="5" t="s">
        <v>124</v>
      </c>
    </row>
    <row r="39" customFormat="false" ht="17.35" hidden="false" customHeight="false" outlineLevel="0" collapsed="false">
      <c r="A39" s="8" t="s">
        <v>125</v>
      </c>
      <c r="B39" s="9" t="n">
        <v>44817</v>
      </c>
      <c r="C39" s="5" t="s">
        <v>16</v>
      </c>
      <c r="D39" s="5" t="s">
        <v>17</v>
      </c>
      <c r="E39" s="0" t="n">
        <v>0.8</v>
      </c>
      <c r="F39" s="5" t="s">
        <v>18</v>
      </c>
      <c r="G39" s="5" t="s">
        <v>19</v>
      </c>
      <c r="H39" s="0" t="n">
        <v>1</v>
      </c>
      <c r="I39" s="0" t="n">
        <v>7.1</v>
      </c>
      <c r="J39" s="5" t="s">
        <v>20</v>
      </c>
      <c r="K39" s="5" t="s">
        <v>20</v>
      </c>
      <c r="L39" s="5" t="s">
        <v>21</v>
      </c>
      <c r="M39" s="10" t="s">
        <v>122</v>
      </c>
      <c r="N39" s="10" t="s">
        <v>123</v>
      </c>
      <c r="O39" s="0" t="str">
        <f aca="false">_xlfn.CONCAT(M39," ",N39)</f>
        <v>45.15721 N 66.24971 W</v>
      </c>
      <c r="P39" s="5" t="s">
        <v>126</v>
      </c>
    </row>
    <row r="40" customFormat="false" ht="17.35" hidden="false" customHeight="false" outlineLevel="0" collapsed="false">
      <c r="A40" s="8" t="s">
        <v>127</v>
      </c>
      <c r="B40" s="9" t="n">
        <v>44817</v>
      </c>
      <c r="C40" s="5" t="s">
        <v>16</v>
      </c>
      <c r="D40" s="5" t="s">
        <v>17</v>
      </c>
      <c r="E40" s="0" t="n">
        <v>0.4</v>
      </c>
      <c r="F40" s="5" t="s">
        <v>18</v>
      </c>
      <c r="G40" s="5" t="s">
        <v>19</v>
      </c>
      <c r="H40" s="0" t="n">
        <v>1</v>
      </c>
      <c r="I40" s="0" t="n">
        <v>7.1</v>
      </c>
      <c r="J40" s="5" t="s">
        <v>20</v>
      </c>
      <c r="K40" s="5" t="s">
        <v>20</v>
      </c>
      <c r="L40" s="5" t="s">
        <v>21</v>
      </c>
      <c r="M40" s="10" t="s">
        <v>122</v>
      </c>
      <c r="N40" s="10" t="s">
        <v>123</v>
      </c>
      <c r="O40" s="0" t="str">
        <f aca="false">_xlfn.CONCAT(M40," ",N40)</f>
        <v>45.15721 N 66.24971 W</v>
      </c>
      <c r="P40" s="5" t="s">
        <v>128</v>
      </c>
    </row>
    <row r="41" customFormat="false" ht="17.35" hidden="false" customHeight="false" outlineLevel="0" collapsed="false">
      <c r="A41" s="8" t="s">
        <v>129</v>
      </c>
      <c r="B41" s="9" t="n">
        <v>44817</v>
      </c>
      <c r="C41" s="5" t="s">
        <v>16</v>
      </c>
      <c r="D41" s="5" t="s">
        <v>17</v>
      </c>
      <c r="E41" s="0" t="n">
        <v>0.65</v>
      </c>
      <c r="F41" s="5" t="s">
        <v>18</v>
      </c>
      <c r="G41" s="5" t="s">
        <v>19</v>
      </c>
      <c r="H41" s="0" t="n">
        <v>1</v>
      </c>
      <c r="I41" s="0" t="n">
        <v>10.2</v>
      </c>
      <c r="J41" s="5" t="s">
        <v>20</v>
      </c>
      <c r="K41" s="5" t="s">
        <v>20</v>
      </c>
      <c r="L41" s="5" t="s">
        <v>21</v>
      </c>
      <c r="M41" s="10" t="s">
        <v>130</v>
      </c>
      <c r="N41" s="10" t="s">
        <v>131</v>
      </c>
      <c r="O41" s="0" t="str">
        <f aca="false">_xlfn.CONCAT(M41," ",N41)</f>
        <v>45.14826 N 66.24730 W</v>
      </c>
      <c r="P41" s="5" t="s">
        <v>132</v>
      </c>
    </row>
    <row r="42" customFormat="false" ht="17.35" hidden="false" customHeight="false" outlineLevel="0" collapsed="false">
      <c r="A42" s="8" t="s">
        <v>133</v>
      </c>
      <c r="B42" s="9" t="n">
        <v>44817</v>
      </c>
      <c r="C42" s="5" t="s">
        <v>16</v>
      </c>
      <c r="D42" s="5" t="s">
        <v>17</v>
      </c>
      <c r="E42" s="0" t="n">
        <v>0.6</v>
      </c>
      <c r="F42" s="5" t="s">
        <v>18</v>
      </c>
      <c r="G42" s="5" t="s">
        <v>19</v>
      </c>
      <c r="H42" s="0" t="n">
        <v>1</v>
      </c>
      <c r="I42" s="0" t="n">
        <v>10.2</v>
      </c>
      <c r="J42" s="5" t="s">
        <v>20</v>
      </c>
      <c r="K42" s="5" t="s">
        <v>20</v>
      </c>
      <c r="L42" s="5" t="s">
        <v>21</v>
      </c>
      <c r="M42" s="10" t="s">
        <v>130</v>
      </c>
      <c r="N42" s="10" t="s">
        <v>131</v>
      </c>
      <c r="O42" s="0" t="str">
        <f aca="false">_xlfn.CONCAT(M42," ",N42)</f>
        <v>45.14826 N 66.24730 W</v>
      </c>
      <c r="P42" s="5" t="s">
        <v>134</v>
      </c>
    </row>
    <row r="43" customFormat="false" ht="17.35" hidden="false" customHeight="false" outlineLevel="0" collapsed="false">
      <c r="A43" s="8" t="s">
        <v>135</v>
      </c>
      <c r="B43" s="9" t="n">
        <v>44817</v>
      </c>
      <c r="C43" s="5" t="s">
        <v>16</v>
      </c>
      <c r="D43" s="5" t="s">
        <v>17</v>
      </c>
      <c r="E43" s="0" t="n">
        <v>0.7</v>
      </c>
      <c r="F43" s="5" t="s">
        <v>18</v>
      </c>
      <c r="G43" s="5" t="s">
        <v>19</v>
      </c>
      <c r="H43" s="0" t="n">
        <v>1</v>
      </c>
      <c r="I43" s="0" t="n">
        <v>10.2</v>
      </c>
      <c r="J43" s="5" t="s">
        <v>20</v>
      </c>
      <c r="K43" s="5" t="s">
        <v>20</v>
      </c>
      <c r="L43" s="5" t="s">
        <v>21</v>
      </c>
      <c r="M43" s="10" t="s">
        <v>130</v>
      </c>
      <c r="N43" s="10" t="s">
        <v>131</v>
      </c>
      <c r="O43" s="0" t="str">
        <f aca="false">_xlfn.CONCAT(M43," ",N43)</f>
        <v>45.14826 N 66.24730 W</v>
      </c>
      <c r="P43" s="5" t="s">
        <v>136</v>
      </c>
    </row>
    <row r="44" customFormat="false" ht="17.35" hidden="false" customHeight="false" outlineLevel="0" collapsed="false">
      <c r="A44" s="8" t="s">
        <v>137</v>
      </c>
      <c r="B44" s="9" t="n">
        <v>44817</v>
      </c>
      <c r="C44" s="5" t="s">
        <v>16</v>
      </c>
      <c r="D44" s="5" t="s">
        <v>17</v>
      </c>
      <c r="E44" s="0" t="n">
        <v>0.75</v>
      </c>
      <c r="F44" s="5" t="s">
        <v>18</v>
      </c>
      <c r="G44" s="5" t="s">
        <v>19</v>
      </c>
      <c r="H44" s="0" t="n">
        <v>9</v>
      </c>
      <c r="I44" s="0" t="n">
        <v>10.2</v>
      </c>
      <c r="J44" s="5" t="s">
        <v>20</v>
      </c>
      <c r="K44" s="5" t="s">
        <v>20</v>
      </c>
      <c r="L44" s="5" t="s">
        <v>21</v>
      </c>
      <c r="M44" s="10" t="s">
        <v>130</v>
      </c>
      <c r="N44" s="10" t="s">
        <v>131</v>
      </c>
      <c r="O44" s="0" t="str">
        <f aca="false">_xlfn.CONCAT(M44," ",N44)</f>
        <v>45.14826 N 66.24730 W</v>
      </c>
      <c r="P44" s="5" t="s">
        <v>138</v>
      </c>
    </row>
    <row r="45" customFormat="false" ht="17.35" hidden="false" customHeight="false" outlineLevel="0" collapsed="false">
      <c r="A45" s="8" t="s">
        <v>139</v>
      </c>
      <c r="B45" s="9" t="n">
        <v>44817</v>
      </c>
      <c r="C45" s="5" t="s">
        <v>16</v>
      </c>
      <c r="D45" s="5" t="s">
        <v>17</v>
      </c>
      <c r="E45" s="0" t="n">
        <v>0.7</v>
      </c>
      <c r="F45" s="5" t="s">
        <v>18</v>
      </c>
      <c r="G45" s="5" t="s">
        <v>19</v>
      </c>
      <c r="H45" s="0" t="n">
        <v>9</v>
      </c>
      <c r="I45" s="0" t="n">
        <v>10.2</v>
      </c>
      <c r="J45" s="5" t="s">
        <v>20</v>
      </c>
      <c r="K45" s="5" t="s">
        <v>20</v>
      </c>
      <c r="L45" s="5" t="s">
        <v>21</v>
      </c>
      <c r="M45" s="10" t="s">
        <v>130</v>
      </c>
      <c r="N45" s="10" t="s">
        <v>131</v>
      </c>
      <c r="O45" s="0" t="str">
        <f aca="false">_xlfn.CONCAT(M45," ",N45)</f>
        <v>45.14826 N 66.24730 W</v>
      </c>
      <c r="P45" s="5" t="s">
        <v>140</v>
      </c>
    </row>
    <row r="46" customFormat="false" ht="17.35" hidden="false" customHeight="false" outlineLevel="0" collapsed="false">
      <c r="A46" s="8" t="s">
        <v>141</v>
      </c>
      <c r="B46" s="9" t="n">
        <v>44817</v>
      </c>
      <c r="C46" s="5" t="s">
        <v>16</v>
      </c>
      <c r="D46" s="5" t="s">
        <v>17</v>
      </c>
      <c r="E46" s="0" t="n">
        <v>0.65</v>
      </c>
      <c r="F46" s="5" t="s">
        <v>18</v>
      </c>
      <c r="G46" s="5" t="s">
        <v>19</v>
      </c>
      <c r="H46" s="0" t="n">
        <v>9</v>
      </c>
      <c r="I46" s="0" t="n">
        <v>10.2</v>
      </c>
      <c r="J46" s="5" t="s">
        <v>20</v>
      </c>
      <c r="K46" s="5" t="s">
        <v>20</v>
      </c>
      <c r="L46" s="5" t="s">
        <v>21</v>
      </c>
      <c r="M46" s="10" t="s">
        <v>130</v>
      </c>
      <c r="N46" s="10" t="s">
        <v>131</v>
      </c>
      <c r="O46" s="0" t="str">
        <f aca="false">_xlfn.CONCAT(M46," ",N46)</f>
        <v>45.14826 N 66.24730 W</v>
      </c>
      <c r="P46" s="5" t="s">
        <v>142</v>
      </c>
    </row>
    <row r="47" customFormat="false" ht="17.35" hidden="false" customHeight="false" outlineLevel="0" collapsed="false">
      <c r="A47" s="8" t="s">
        <v>143</v>
      </c>
      <c r="B47" s="9" t="n">
        <v>44817</v>
      </c>
      <c r="C47" s="5" t="s">
        <v>16</v>
      </c>
      <c r="D47" s="5" t="s">
        <v>17</v>
      </c>
      <c r="E47" s="0" t="n">
        <v>0.8</v>
      </c>
      <c r="F47" s="5" t="s">
        <v>18</v>
      </c>
      <c r="G47" s="5" t="s">
        <v>19</v>
      </c>
      <c r="H47" s="0" t="n">
        <v>1</v>
      </c>
      <c r="I47" s="0" t="n">
        <v>17.3</v>
      </c>
      <c r="J47" s="5" t="s">
        <v>20</v>
      </c>
      <c r="K47" s="5" t="s">
        <v>20</v>
      </c>
      <c r="L47" s="5" t="s">
        <v>21</v>
      </c>
      <c r="M47" s="10" t="s">
        <v>144</v>
      </c>
      <c r="N47" s="10" t="s">
        <v>145</v>
      </c>
      <c r="O47" s="0" t="str">
        <f aca="false">_xlfn.CONCAT(M47," ",N47)</f>
        <v>45.14379 N 66.24604 W</v>
      </c>
      <c r="P47" s="5" t="s">
        <v>146</v>
      </c>
    </row>
    <row r="48" customFormat="false" ht="17.35" hidden="false" customHeight="false" outlineLevel="0" collapsed="false">
      <c r="A48" s="8" t="s">
        <v>147</v>
      </c>
      <c r="B48" s="9" t="n">
        <v>44817</v>
      </c>
      <c r="C48" s="5" t="s">
        <v>16</v>
      </c>
      <c r="D48" s="5" t="s">
        <v>17</v>
      </c>
      <c r="E48" s="0" t="n">
        <v>0.9</v>
      </c>
      <c r="F48" s="5" t="s">
        <v>18</v>
      </c>
      <c r="G48" s="5" t="s">
        <v>19</v>
      </c>
      <c r="H48" s="0" t="n">
        <v>1</v>
      </c>
      <c r="I48" s="0" t="n">
        <v>17.3</v>
      </c>
      <c r="J48" s="5" t="s">
        <v>20</v>
      </c>
      <c r="K48" s="5" t="s">
        <v>20</v>
      </c>
      <c r="L48" s="5" t="s">
        <v>21</v>
      </c>
      <c r="M48" s="10" t="s">
        <v>144</v>
      </c>
      <c r="N48" s="10" t="s">
        <v>145</v>
      </c>
      <c r="O48" s="0" t="str">
        <f aca="false">_xlfn.CONCAT(M48," ",N48)</f>
        <v>45.14379 N 66.24604 W</v>
      </c>
      <c r="P48" s="5" t="s">
        <v>148</v>
      </c>
    </row>
    <row r="49" customFormat="false" ht="17.35" hidden="false" customHeight="false" outlineLevel="0" collapsed="false">
      <c r="A49" s="8" t="s">
        <v>149</v>
      </c>
      <c r="B49" s="9" t="n">
        <v>44817</v>
      </c>
      <c r="C49" s="5" t="s">
        <v>16</v>
      </c>
      <c r="D49" s="5" t="s">
        <v>17</v>
      </c>
      <c r="E49" s="0" t="n">
        <v>0.8</v>
      </c>
      <c r="F49" s="5" t="s">
        <v>18</v>
      </c>
      <c r="G49" s="5" t="s">
        <v>19</v>
      </c>
      <c r="H49" s="0" t="n">
        <v>11</v>
      </c>
      <c r="I49" s="0" t="n">
        <v>17.3</v>
      </c>
      <c r="J49" s="5" t="s">
        <v>20</v>
      </c>
      <c r="K49" s="5" t="s">
        <v>20</v>
      </c>
      <c r="L49" s="5" t="s">
        <v>21</v>
      </c>
      <c r="M49" s="10" t="s">
        <v>144</v>
      </c>
      <c r="N49" s="10" t="s">
        <v>145</v>
      </c>
      <c r="O49" s="0" t="str">
        <f aca="false">_xlfn.CONCAT(M49," ",N49)</f>
        <v>45.14379 N 66.24604 W</v>
      </c>
      <c r="P49" s="5" t="s">
        <v>150</v>
      </c>
    </row>
    <row r="50" customFormat="false" ht="17.35" hidden="false" customHeight="false" outlineLevel="0" collapsed="false">
      <c r="A50" s="8" t="s">
        <v>151</v>
      </c>
      <c r="B50" s="9" t="n">
        <v>44817</v>
      </c>
      <c r="C50" s="5" t="s">
        <v>16</v>
      </c>
      <c r="D50" s="5" t="s">
        <v>17</v>
      </c>
      <c r="E50" s="0" t="n">
        <v>0.75</v>
      </c>
      <c r="F50" s="5" t="s">
        <v>18</v>
      </c>
      <c r="G50" s="5" t="s">
        <v>19</v>
      </c>
      <c r="H50" s="0" t="n">
        <v>11</v>
      </c>
      <c r="I50" s="0" t="n">
        <v>17.3</v>
      </c>
      <c r="J50" s="5" t="s">
        <v>20</v>
      </c>
      <c r="K50" s="5" t="s">
        <v>20</v>
      </c>
      <c r="L50" s="5" t="s">
        <v>21</v>
      </c>
      <c r="M50" s="10" t="s">
        <v>144</v>
      </c>
      <c r="N50" s="10" t="s">
        <v>145</v>
      </c>
      <c r="O50" s="0" t="str">
        <f aca="false">_xlfn.CONCAT(M50," ",N50)</f>
        <v>45.14379 N 66.24604 W</v>
      </c>
      <c r="P50" s="5" t="s">
        <v>152</v>
      </c>
    </row>
    <row r="51" customFormat="false" ht="17.35" hidden="false" customHeight="false" outlineLevel="0" collapsed="false">
      <c r="A51" s="8" t="s">
        <v>153</v>
      </c>
      <c r="B51" s="9" t="n">
        <v>44817</v>
      </c>
      <c r="C51" s="5" t="s">
        <v>16</v>
      </c>
      <c r="D51" s="5" t="s">
        <v>17</v>
      </c>
      <c r="E51" s="0" t="n">
        <v>0.8</v>
      </c>
      <c r="F51" s="5" t="s">
        <v>18</v>
      </c>
      <c r="G51" s="5" t="s">
        <v>19</v>
      </c>
      <c r="H51" s="0" t="n">
        <v>11</v>
      </c>
      <c r="I51" s="0" t="n">
        <v>17.3</v>
      </c>
      <c r="J51" s="5" t="s">
        <v>20</v>
      </c>
      <c r="K51" s="5" t="s">
        <v>20</v>
      </c>
      <c r="L51" s="5" t="s">
        <v>21</v>
      </c>
      <c r="M51" s="10" t="s">
        <v>144</v>
      </c>
      <c r="N51" s="10" t="s">
        <v>145</v>
      </c>
      <c r="O51" s="0" t="str">
        <f aca="false">_xlfn.CONCAT(M51," ",N51)</f>
        <v>45.14379 N 66.24604 W</v>
      </c>
      <c r="P51" s="5" t="s">
        <v>154</v>
      </c>
    </row>
    <row r="52" customFormat="false" ht="17.35" hidden="false" customHeight="false" outlineLevel="0" collapsed="false">
      <c r="A52" s="8" t="s">
        <v>155</v>
      </c>
      <c r="B52" s="9" t="n">
        <v>44817</v>
      </c>
      <c r="C52" s="5" t="s">
        <v>16</v>
      </c>
      <c r="D52" s="5" t="s">
        <v>17</v>
      </c>
      <c r="E52" s="0" t="n">
        <v>0.8</v>
      </c>
      <c r="F52" s="5" t="s">
        <v>18</v>
      </c>
      <c r="G52" s="5" t="s">
        <v>19</v>
      </c>
      <c r="H52" s="0" t="n">
        <v>1</v>
      </c>
      <c r="I52" s="0" t="n">
        <v>14.4</v>
      </c>
      <c r="J52" s="5" t="s">
        <v>20</v>
      </c>
      <c r="K52" s="5" t="s">
        <v>20</v>
      </c>
      <c r="L52" s="5" t="s">
        <v>21</v>
      </c>
      <c r="M52" s="10" t="s">
        <v>156</v>
      </c>
      <c r="N52" s="10" t="s">
        <v>157</v>
      </c>
      <c r="O52" s="0" t="str">
        <f aca="false">_xlfn.CONCAT(M52," ",N52)</f>
        <v>45.14080 N 66.25800 W</v>
      </c>
      <c r="P52" s="5" t="s">
        <v>158</v>
      </c>
    </row>
    <row r="53" customFormat="false" ht="17.35" hidden="false" customHeight="false" outlineLevel="0" collapsed="false">
      <c r="A53" s="8" t="s">
        <v>159</v>
      </c>
      <c r="B53" s="9" t="n">
        <v>44817</v>
      </c>
      <c r="C53" s="5" t="s">
        <v>16</v>
      </c>
      <c r="D53" s="5" t="s">
        <v>17</v>
      </c>
      <c r="E53" s="0" t="n">
        <v>0.65</v>
      </c>
      <c r="F53" s="5" t="s">
        <v>18</v>
      </c>
      <c r="G53" s="5" t="s">
        <v>19</v>
      </c>
      <c r="H53" s="0" t="n">
        <v>1</v>
      </c>
      <c r="I53" s="0" t="n">
        <v>14.4</v>
      </c>
      <c r="J53" s="5" t="s">
        <v>20</v>
      </c>
      <c r="K53" s="5" t="s">
        <v>20</v>
      </c>
      <c r="L53" s="5" t="s">
        <v>21</v>
      </c>
      <c r="M53" s="10" t="s">
        <v>156</v>
      </c>
      <c r="N53" s="10" t="s">
        <v>157</v>
      </c>
      <c r="O53" s="0" t="str">
        <f aca="false">_xlfn.CONCAT(M53," ",N53)</f>
        <v>45.14080 N 66.25800 W</v>
      </c>
      <c r="P53" s="5" t="s">
        <v>160</v>
      </c>
    </row>
    <row r="54" customFormat="false" ht="17.35" hidden="false" customHeight="false" outlineLevel="0" collapsed="false">
      <c r="A54" s="8" t="s">
        <v>161</v>
      </c>
      <c r="B54" s="9" t="n">
        <v>44817</v>
      </c>
      <c r="C54" s="5" t="s">
        <v>16</v>
      </c>
      <c r="D54" s="5" t="s">
        <v>17</v>
      </c>
      <c r="E54" s="0" t="n">
        <v>0.75</v>
      </c>
      <c r="F54" s="5" t="s">
        <v>18</v>
      </c>
      <c r="G54" s="5" t="s">
        <v>19</v>
      </c>
      <c r="H54" s="0" t="n">
        <v>1</v>
      </c>
      <c r="I54" s="0" t="n">
        <v>8.9</v>
      </c>
      <c r="J54" s="5" t="s">
        <v>20</v>
      </c>
      <c r="K54" s="5" t="s">
        <v>20</v>
      </c>
      <c r="L54" s="5" t="s">
        <v>21</v>
      </c>
      <c r="M54" s="10" t="s">
        <v>162</v>
      </c>
      <c r="N54" s="10" t="s">
        <v>163</v>
      </c>
      <c r="O54" s="0" t="str">
        <f aca="false">_xlfn.CONCAT(M54," ",N54)</f>
        <v>45.14356 N 66.26273 W</v>
      </c>
      <c r="P54" s="5" t="s">
        <v>164</v>
      </c>
    </row>
    <row r="55" customFormat="false" ht="17.35" hidden="false" customHeight="false" outlineLevel="0" collapsed="false">
      <c r="A55" s="8" t="s">
        <v>165</v>
      </c>
      <c r="B55" s="9" t="n">
        <v>44817</v>
      </c>
      <c r="C55" s="5" t="s">
        <v>16</v>
      </c>
      <c r="D55" s="5" t="s">
        <v>17</v>
      </c>
      <c r="E55" s="0" t="n">
        <v>0.75</v>
      </c>
      <c r="F55" s="5" t="s">
        <v>18</v>
      </c>
      <c r="G55" s="5" t="s">
        <v>19</v>
      </c>
      <c r="H55" s="0" t="n">
        <v>1</v>
      </c>
      <c r="I55" s="0" t="n">
        <v>8.9</v>
      </c>
      <c r="J55" s="5" t="s">
        <v>20</v>
      </c>
      <c r="K55" s="5" t="s">
        <v>20</v>
      </c>
      <c r="L55" s="5" t="s">
        <v>21</v>
      </c>
      <c r="M55" s="10" t="s">
        <v>162</v>
      </c>
      <c r="N55" s="10" t="s">
        <v>163</v>
      </c>
      <c r="O55" s="0" t="str">
        <f aca="false">_xlfn.CONCAT(M55," ",N55)</f>
        <v>45.14356 N 66.26273 W</v>
      </c>
      <c r="P55" s="5" t="s">
        <v>166</v>
      </c>
    </row>
    <row r="56" customFormat="false" ht="17.35" hidden="false" customHeight="false" outlineLevel="0" collapsed="false">
      <c r="A56" s="8" t="s">
        <v>167</v>
      </c>
      <c r="B56" s="9" t="n">
        <v>44817</v>
      </c>
      <c r="C56" s="5" t="s">
        <v>16</v>
      </c>
      <c r="D56" s="5" t="s">
        <v>17</v>
      </c>
      <c r="E56" s="0" t="n">
        <v>0.75</v>
      </c>
      <c r="F56" s="5" t="s">
        <v>18</v>
      </c>
      <c r="G56" s="5" t="s">
        <v>19</v>
      </c>
      <c r="H56" s="0" t="n">
        <v>1</v>
      </c>
      <c r="I56" s="0" t="n">
        <v>12.2</v>
      </c>
      <c r="J56" s="5" t="s">
        <v>20</v>
      </c>
      <c r="K56" s="5" t="s">
        <v>20</v>
      </c>
      <c r="L56" s="5" t="s">
        <v>21</v>
      </c>
      <c r="M56" s="5" t="s">
        <v>168</v>
      </c>
      <c r="N56" s="5" t="s">
        <v>169</v>
      </c>
      <c r="O56" s="0" t="str">
        <f aca="false">_xlfn.CONCAT(M56," ",N56)</f>
        <v>45.14180 N 66.25995 W</v>
      </c>
      <c r="P56" s="5" t="s">
        <v>170</v>
      </c>
    </row>
    <row r="57" customFormat="false" ht="17.35" hidden="false" customHeight="false" outlineLevel="0" collapsed="false">
      <c r="A57" s="8" t="s">
        <v>171</v>
      </c>
      <c r="B57" s="9" t="n">
        <v>44817</v>
      </c>
      <c r="C57" s="5" t="s">
        <v>16</v>
      </c>
      <c r="D57" s="5" t="s">
        <v>17</v>
      </c>
      <c r="E57" s="0" t="n">
        <v>0.7</v>
      </c>
      <c r="F57" s="5" t="s">
        <v>18</v>
      </c>
      <c r="G57" s="5" t="s">
        <v>19</v>
      </c>
      <c r="H57" s="0" t="n">
        <v>1</v>
      </c>
      <c r="I57" s="0" t="n">
        <v>12.2</v>
      </c>
      <c r="J57" s="5" t="s">
        <v>20</v>
      </c>
      <c r="K57" s="5" t="s">
        <v>20</v>
      </c>
      <c r="L57" s="5" t="s">
        <v>21</v>
      </c>
      <c r="M57" s="5" t="s">
        <v>168</v>
      </c>
      <c r="N57" s="5" t="s">
        <v>169</v>
      </c>
      <c r="O57" s="0" t="str">
        <f aca="false">_xlfn.CONCAT(M57," ",N57)</f>
        <v>45.14180 N 66.25995 W</v>
      </c>
      <c r="P57" s="5" t="s">
        <v>172</v>
      </c>
    </row>
    <row r="58" customFormat="false" ht="17.35" hidden="false" customHeight="false" outlineLevel="0" collapsed="false">
      <c r="A58" s="8" t="s">
        <v>173</v>
      </c>
      <c r="B58" s="9" t="n">
        <v>44817</v>
      </c>
      <c r="C58" s="5" t="s">
        <v>16</v>
      </c>
      <c r="D58" s="5" t="s">
        <v>17</v>
      </c>
      <c r="E58" s="0" t="n">
        <v>0.8</v>
      </c>
      <c r="F58" s="5" t="s">
        <v>18</v>
      </c>
      <c r="G58" s="5" t="s">
        <v>19</v>
      </c>
      <c r="H58" s="0" t="n">
        <v>1</v>
      </c>
      <c r="I58" s="0" t="n">
        <v>12.2</v>
      </c>
      <c r="J58" s="5" t="s">
        <v>20</v>
      </c>
      <c r="K58" s="5" t="s">
        <v>20</v>
      </c>
      <c r="L58" s="5" t="s">
        <v>21</v>
      </c>
      <c r="M58" s="5" t="s">
        <v>168</v>
      </c>
      <c r="N58" s="5" t="s">
        <v>169</v>
      </c>
      <c r="O58" s="0" t="str">
        <f aca="false">_xlfn.CONCAT(M58," ",N58)</f>
        <v>45.14180 N 66.25995 W</v>
      </c>
      <c r="P58" s="5" t="s">
        <v>174</v>
      </c>
    </row>
    <row r="59" customFormat="false" ht="17.35" hidden="false" customHeight="false" outlineLevel="0" collapsed="false">
      <c r="A59" s="8" t="s">
        <v>175</v>
      </c>
      <c r="B59" s="9" t="n">
        <v>44817</v>
      </c>
      <c r="C59" s="5" t="s">
        <v>16</v>
      </c>
      <c r="D59" s="5" t="s">
        <v>17</v>
      </c>
      <c r="E59" s="0" t="n">
        <v>0.7</v>
      </c>
      <c r="F59" s="5" t="s">
        <v>18</v>
      </c>
      <c r="G59" s="5" t="s">
        <v>19</v>
      </c>
      <c r="H59" s="0" t="n">
        <v>11</v>
      </c>
      <c r="I59" s="0" t="n">
        <v>12.2</v>
      </c>
      <c r="J59" s="5" t="s">
        <v>20</v>
      </c>
      <c r="K59" s="5" t="s">
        <v>20</v>
      </c>
      <c r="L59" s="5" t="s">
        <v>21</v>
      </c>
      <c r="M59" s="5" t="s">
        <v>168</v>
      </c>
      <c r="N59" s="5" t="s">
        <v>169</v>
      </c>
      <c r="O59" s="0" t="str">
        <f aca="false">_xlfn.CONCAT(M59," ",N59)</f>
        <v>45.14180 N 66.25995 W</v>
      </c>
      <c r="P59" s="5" t="s">
        <v>176</v>
      </c>
    </row>
    <row r="60" customFormat="false" ht="17.35" hidden="false" customHeight="false" outlineLevel="0" collapsed="false">
      <c r="A60" s="8" t="s">
        <v>177</v>
      </c>
      <c r="B60" s="9" t="n">
        <v>44817</v>
      </c>
      <c r="C60" s="5" t="s">
        <v>16</v>
      </c>
      <c r="D60" s="5" t="s">
        <v>17</v>
      </c>
      <c r="E60" s="0" t="n">
        <v>0.7</v>
      </c>
      <c r="F60" s="5" t="s">
        <v>18</v>
      </c>
      <c r="G60" s="5" t="s">
        <v>19</v>
      </c>
      <c r="H60" s="0" t="n">
        <v>11</v>
      </c>
      <c r="I60" s="0" t="n">
        <v>12.2</v>
      </c>
      <c r="J60" s="5" t="s">
        <v>20</v>
      </c>
      <c r="K60" s="5" t="s">
        <v>20</v>
      </c>
      <c r="L60" s="5" t="s">
        <v>21</v>
      </c>
      <c r="M60" s="5" t="s">
        <v>168</v>
      </c>
      <c r="N60" s="5" t="s">
        <v>169</v>
      </c>
      <c r="O60" s="0" t="str">
        <f aca="false">_xlfn.CONCAT(M60," ",N60)</f>
        <v>45.14180 N 66.25995 W</v>
      </c>
      <c r="P60" s="5" t="s">
        <v>178</v>
      </c>
    </row>
    <row r="61" customFormat="false" ht="17.35" hidden="false" customHeight="false" outlineLevel="0" collapsed="false">
      <c r="A61" s="8" t="s">
        <v>179</v>
      </c>
      <c r="B61" s="9" t="n">
        <v>44817</v>
      </c>
      <c r="C61" s="5" t="s">
        <v>16</v>
      </c>
      <c r="D61" s="5" t="s">
        <v>17</v>
      </c>
      <c r="E61" s="0" t="n">
        <v>0.75</v>
      </c>
      <c r="F61" s="5" t="s">
        <v>18</v>
      </c>
      <c r="G61" s="5" t="s">
        <v>19</v>
      </c>
      <c r="H61" s="0" t="n">
        <v>11</v>
      </c>
      <c r="I61" s="0" t="n">
        <v>12.2</v>
      </c>
      <c r="J61" s="5" t="s">
        <v>20</v>
      </c>
      <c r="K61" s="5" t="s">
        <v>20</v>
      </c>
      <c r="L61" s="5" t="s">
        <v>21</v>
      </c>
      <c r="M61" s="5" t="s">
        <v>168</v>
      </c>
      <c r="N61" s="5" t="s">
        <v>169</v>
      </c>
      <c r="O61" s="0" t="str">
        <f aca="false">_xlfn.CONCAT(M61," ",N61)</f>
        <v>45.14180 N 66.25995 W</v>
      </c>
      <c r="P61" s="5" t="s">
        <v>180</v>
      </c>
    </row>
    <row r="62" customFormat="false" ht="17.35" hidden="false" customHeight="false" outlineLevel="0" collapsed="false">
      <c r="A62" s="8" t="s">
        <v>181</v>
      </c>
      <c r="B62" s="9" t="n">
        <v>44817</v>
      </c>
      <c r="C62" s="5" t="s">
        <v>16</v>
      </c>
      <c r="D62" s="5" t="s">
        <v>17</v>
      </c>
      <c r="E62" s="0" t="n">
        <v>0.8</v>
      </c>
      <c r="F62" s="5" t="s">
        <v>18</v>
      </c>
      <c r="G62" s="5" t="s">
        <v>19</v>
      </c>
      <c r="H62" s="0" t="n">
        <v>1</v>
      </c>
      <c r="I62" s="0" t="n">
        <v>17.7</v>
      </c>
      <c r="J62" s="5" t="s">
        <v>20</v>
      </c>
      <c r="K62" s="5" t="s">
        <v>20</v>
      </c>
      <c r="L62" s="5" t="s">
        <v>21</v>
      </c>
      <c r="M62" s="10" t="s">
        <v>182</v>
      </c>
      <c r="N62" s="10" t="s">
        <v>183</v>
      </c>
      <c r="O62" s="0" t="str">
        <f aca="false">_xlfn.CONCAT(M62," ",N62)</f>
        <v>45.13879 N 66.25691 W</v>
      </c>
      <c r="P62" s="5" t="s">
        <v>184</v>
      </c>
    </row>
    <row r="63" customFormat="false" ht="17.35" hidden="false" customHeight="false" outlineLevel="0" collapsed="false">
      <c r="A63" s="8" t="s">
        <v>185</v>
      </c>
      <c r="B63" s="9" t="n">
        <v>44817</v>
      </c>
      <c r="C63" s="5" t="s">
        <v>16</v>
      </c>
      <c r="D63" s="5" t="s">
        <v>17</v>
      </c>
      <c r="E63" s="0" t="n">
        <v>0.8</v>
      </c>
      <c r="F63" s="5" t="s">
        <v>18</v>
      </c>
      <c r="G63" s="5" t="s">
        <v>19</v>
      </c>
      <c r="H63" s="0" t="n">
        <v>1</v>
      </c>
      <c r="I63" s="0" t="n">
        <v>17.7</v>
      </c>
      <c r="J63" s="5" t="s">
        <v>20</v>
      </c>
      <c r="K63" s="5" t="s">
        <v>20</v>
      </c>
      <c r="L63" s="5" t="s">
        <v>21</v>
      </c>
      <c r="M63" s="10" t="s">
        <v>182</v>
      </c>
      <c r="N63" s="10" t="s">
        <v>183</v>
      </c>
      <c r="O63" s="0" t="str">
        <f aca="false">_xlfn.CONCAT(M63," ",N63)</f>
        <v>45.13879 N 66.25691 W</v>
      </c>
      <c r="P63" s="5" t="s">
        <v>186</v>
      </c>
    </row>
    <row r="64" customFormat="false" ht="17.35" hidden="false" customHeight="false" outlineLevel="0" collapsed="false">
      <c r="A64" s="8" t="s">
        <v>187</v>
      </c>
      <c r="B64" s="9" t="n">
        <v>44817</v>
      </c>
      <c r="C64" s="5" t="s">
        <v>16</v>
      </c>
      <c r="D64" s="5" t="s">
        <v>17</v>
      </c>
      <c r="E64" s="0" t="n">
        <v>0.8</v>
      </c>
      <c r="F64" s="5" t="s">
        <v>18</v>
      </c>
      <c r="G64" s="5" t="s">
        <v>19</v>
      </c>
      <c r="H64" s="0" t="n">
        <v>1</v>
      </c>
      <c r="I64" s="0" t="n">
        <v>17.7</v>
      </c>
      <c r="J64" s="5" t="s">
        <v>20</v>
      </c>
      <c r="K64" s="5" t="s">
        <v>20</v>
      </c>
      <c r="L64" s="5" t="s">
        <v>21</v>
      </c>
      <c r="M64" s="10" t="s">
        <v>182</v>
      </c>
      <c r="N64" s="10" t="s">
        <v>183</v>
      </c>
      <c r="O64" s="0" t="str">
        <f aca="false">_xlfn.CONCAT(M64," ",N64)</f>
        <v>45.13879 N 66.25691 W</v>
      </c>
      <c r="P64" s="5" t="s">
        <v>188</v>
      </c>
    </row>
    <row r="65" customFormat="false" ht="17.35" hidden="false" customHeight="false" outlineLevel="0" collapsed="false">
      <c r="A65" s="8" t="s">
        <v>189</v>
      </c>
      <c r="B65" s="9" t="n">
        <v>44817</v>
      </c>
      <c r="C65" s="5" t="s">
        <v>16</v>
      </c>
      <c r="D65" s="5" t="s">
        <v>17</v>
      </c>
      <c r="E65" s="0" t="n">
        <v>0.8</v>
      </c>
      <c r="F65" s="5" t="s">
        <v>18</v>
      </c>
      <c r="G65" s="5" t="s">
        <v>19</v>
      </c>
      <c r="H65" s="0" t="n">
        <v>11</v>
      </c>
      <c r="I65" s="0" t="n">
        <v>17.7</v>
      </c>
      <c r="J65" s="5" t="s">
        <v>20</v>
      </c>
      <c r="K65" s="5" t="s">
        <v>20</v>
      </c>
      <c r="L65" s="5" t="s">
        <v>21</v>
      </c>
      <c r="M65" s="10" t="s">
        <v>182</v>
      </c>
      <c r="N65" s="10" t="s">
        <v>183</v>
      </c>
      <c r="O65" s="0" t="str">
        <f aca="false">_xlfn.CONCAT(M65," ",N65)</f>
        <v>45.13879 N 66.25691 W</v>
      </c>
      <c r="P65" s="5" t="s">
        <v>190</v>
      </c>
    </row>
    <row r="66" customFormat="false" ht="17.35" hidden="false" customHeight="false" outlineLevel="0" collapsed="false">
      <c r="A66" s="8" t="s">
        <v>191</v>
      </c>
      <c r="B66" s="9" t="n">
        <v>44817</v>
      </c>
      <c r="C66" s="5" t="s">
        <v>16</v>
      </c>
      <c r="D66" s="5" t="s">
        <v>17</v>
      </c>
      <c r="E66" s="0" t="n">
        <v>0.8</v>
      </c>
      <c r="F66" s="5" t="s">
        <v>18</v>
      </c>
      <c r="G66" s="5" t="s">
        <v>19</v>
      </c>
      <c r="H66" s="0" t="n">
        <v>11</v>
      </c>
      <c r="I66" s="0" t="n">
        <v>17.7</v>
      </c>
      <c r="J66" s="5" t="s">
        <v>20</v>
      </c>
      <c r="K66" s="5" t="s">
        <v>20</v>
      </c>
      <c r="L66" s="5" t="s">
        <v>21</v>
      </c>
      <c r="M66" s="10" t="s">
        <v>182</v>
      </c>
      <c r="N66" s="10" t="s">
        <v>183</v>
      </c>
      <c r="O66" s="0" t="str">
        <f aca="false">_xlfn.CONCAT(M66," ",N66)</f>
        <v>45.13879 N 66.25691 W</v>
      </c>
      <c r="P66" s="5" t="s">
        <v>192</v>
      </c>
    </row>
    <row r="67" customFormat="false" ht="17.35" hidden="false" customHeight="false" outlineLevel="0" collapsed="false">
      <c r="A67" s="8" t="s">
        <v>193</v>
      </c>
      <c r="B67" s="9" t="n">
        <v>44817</v>
      </c>
      <c r="C67" s="5" t="s">
        <v>16</v>
      </c>
      <c r="D67" s="5" t="s">
        <v>17</v>
      </c>
      <c r="E67" s="0" t="n">
        <v>0.75</v>
      </c>
      <c r="F67" s="5" t="s">
        <v>18</v>
      </c>
      <c r="G67" s="5" t="s">
        <v>19</v>
      </c>
      <c r="H67" s="0" t="n">
        <v>11</v>
      </c>
      <c r="I67" s="0" t="n">
        <v>17.7</v>
      </c>
      <c r="J67" s="5" t="s">
        <v>20</v>
      </c>
      <c r="K67" s="5" t="s">
        <v>20</v>
      </c>
      <c r="L67" s="5" t="s">
        <v>21</v>
      </c>
      <c r="M67" s="10" t="s">
        <v>182</v>
      </c>
      <c r="N67" s="10" t="s">
        <v>183</v>
      </c>
      <c r="O67" s="0" t="str">
        <f aca="false">_xlfn.CONCAT(M67," ",N67)</f>
        <v>45.13879 N 66.25691 W</v>
      </c>
      <c r="P67" s="5" t="s">
        <v>194</v>
      </c>
    </row>
    <row r="68" customFormat="false" ht="17.35" hidden="false" customHeight="false" outlineLevel="0" collapsed="false">
      <c r="A68" s="8" t="s">
        <v>195</v>
      </c>
      <c r="B68" s="9" t="n">
        <v>44817</v>
      </c>
      <c r="C68" s="5" t="s">
        <v>16</v>
      </c>
      <c r="D68" s="5" t="s">
        <v>17</v>
      </c>
      <c r="E68" s="0" t="n">
        <v>0.8</v>
      </c>
      <c r="F68" s="5" t="s">
        <v>18</v>
      </c>
      <c r="G68" s="5" t="s">
        <v>19</v>
      </c>
      <c r="H68" s="0" t="n">
        <v>1</v>
      </c>
      <c r="I68" s="0" t="n">
        <v>20.3</v>
      </c>
      <c r="J68" s="5" t="s">
        <v>20</v>
      </c>
      <c r="K68" s="5" t="s">
        <v>20</v>
      </c>
      <c r="L68" s="5" t="s">
        <v>21</v>
      </c>
      <c r="M68" s="10" t="s">
        <v>196</v>
      </c>
      <c r="N68" s="10" t="s">
        <v>197</v>
      </c>
      <c r="O68" s="0" t="str">
        <f aca="false">_xlfn.CONCAT(M68," ",N68)</f>
        <v>45.14597 N 66.24249 W</v>
      </c>
      <c r="P68" s="5" t="s">
        <v>198</v>
      </c>
    </row>
    <row r="69" customFormat="false" ht="17.35" hidden="false" customHeight="false" outlineLevel="0" collapsed="false">
      <c r="A69" s="8" t="s">
        <v>199</v>
      </c>
      <c r="B69" s="9" t="n">
        <v>44817</v>
      </c>
      <c r="C69" s="5" t="s">
        <v>16</v>
      </c>
      <c r="D69" s="5" t="s">
        <v>17</v>
      </c>
      <c r="E69" s="0" t="n">
        <v>0.45</v>
      </c>
      <c r="F69" s="5" t="s">
        <v>18</v>
      </c>
      <c r="G69" s="5" t="s">
        <v>19</v>
      </c>
      <c r="H69" s="0" t="n">
        <v>1</v>
      </c>
      <c r="I69" s="0" t="n">
        <v>20.3</v>
      </c>
      <c r="J69" s="5" t="s">
        <v>20</v>
      </c>
      <c r="K69" s="5" t="s">
        <v>20</v>
      </c>
      <c r="L69" s="5" t="s">
        <v>21</v>
      </c>
      <c r="M69" s="10" t="s">
        <v>196</v>
      </c>
      <c r="N69" s="10" t="s">
        <v>197</v>
      </c>
      <c r="O69" s="0" t="str">
        <f aca="false">_xlfn.CONCAT(M69," ",N69)</f>
        <v>45.14597 N 66.24249 W</v>
      </c>
      <c r="P69" s="5" t="s">
        <v>200</v>
      </c>
    </row>
    <row r="70" customFormat="false" ht="17.35" hidden="false" customHeight="false" outlineLevel="0" collapsed="false">
      <c r="A70" s="8" t="s">
        <v>201</v>
      </c>
      <c r="B70" s="9" t="n">
        <v>44817</v>
      </c>
      <c r="C70" s="5" t="s">
        <v>16</v>
      </c>
      <c r="D70" s="5" t="s">
        <v>17</v>
      </c>
      <c r="E70" s="0" t="n">
        <v>0.7</v>
      </c>
      <c r="F70" s="5" t="s">
        <v>18</v>
      </c>
      <c r="G70" s="5" t="s">
        <v>19</v>
      </c>
      <c r="H70" s="0" t="n">
        <v>1</v>
      </c>
      <c r="I70" s="0" t="n">
        <v>20.3</v>
      </c>
      <c r="J70" s="5" t="s">
        <v>20</v>
      </c>
      <c r="K70" s="5" t="s">
        <v>20</v>
      </c>
      <c r="L70" s="5" t="s">
        <v>21</v>
      </c>
      <c r="M70" s="10" t="s">
        <v>196</v>
      </c>
      <c r="N70" s="10" t="s">
        <v>197</v>
      </c>
      <c r="O70" s="0" t="str">
        <f aca="false">_xlfn.CONCAT(M70," ",N70)</f>
        <v>45.14597 N 66.24249 W</v>
      </c>
      <c r="P70" s="5" t="s">
        <v>202</v>
      </c>
    </row>
    <row r="71" customFormat="false" ht="17.35" hidden="false" customHeight="false" outlineLevel="0" collapsed="false">
      <c r="A71" s="8" t="s">
        <v>203</v>
      </c>
      <c r="B71" s="9" t="n">
        <v>44817</v>
      </c>
      <c r="C71" s="5" t="s">
        <v>16</v>
      </c>
      <c r="D71" s="5" t="s">
        <v>17</v>
      </c>
      <c r="E71" s="0" t="n">
        <v>0.75</v>
      </c>
      <c r="F71" s="5" t="s">
        <v>18</v>
      </c>
      <c r="G71" s="5" t="s">
        <v>19</v>
      </c>
      <c r="H71" s="0" t="n">
        <v>1</v>
      </c>
      <c r="I71" s="0" t="n">
        <v>17.3</v>
      </c>
      <c r="J71" s="5" t="s">
        <v>20</v>
      </c>
      <c r="K71" s="5" t="s">
        <v>20</v>
      </c>
      <c r="L71" s="5" t="s">
        <v>21</v>
      </c>
      <c r="M71" s="10" t="s">
        <v>204</v>
      </c>
      <c r="N71" s="10" t="s">
        <v>205</v>
      </c>
      <c r="O71" s="0" t="str">
        <f aca="false">_xlfn.CONCAT(M71," ",N71)</f>
        <v>45.14245 N 66.25058 W</v>
      </c>
      <c r="P71" s="5" t="s">
        <v>206</v>
      </c>
    </row>
    <row r="72" customFormat="false" ht="17.35" hidden="false" customHeight="false" outlineLevel="0" collapsed="false">
      <c r="A72" s="8" t="s">
        <v>207</v>
      </c>
      <c r="B72" s="9" t="n">
        <v>44817</v>
      </c>
      <c r="C72" s="5" t="s">
        <v>16</v>
      </c>
      <c r="D72" s="5" t="s">
        <v>17</v>
      </c>
      <c r="E72" s="0" t="n">
        <v>0.55</v>
      </c>
      <c r="F72" s="5" t="s">
        <v>18</v>
      </c>
      <c r="G72" s="5" t="s">
        <v>19</v>
      </c>
      <c r="H72" s="0" t="n">
        <v>1</v>
      </c>
      <c r="I72" s="0" t="n">
        <v>17.3</v>
      </c>
      <c r="J72" s="5" t="s">
        <v>20</v>
      </c>
      <c r="K72" s="5" t="s">
        <v>20</v>
      </c>
      <c r="L72" s="5" t="s">
        <v>21</v>
      </c>
      <c r="M72" s="10" t="s">
        <v>204</v>
      </c>
      <c r="N72" s="10" t="s">
        <v>205</v>
      </c>
      <c r="O72" s="0" t="str">
        <f aca="false">_xlfn.CONCAT(M72," ",N72)</f>
        <v>45.14245 N 66.25058 W</v>
      </c>
      <c r="P72" s="5" t="s">
        <v>208</v>
      </c>
    </row>
    <row r="73" customFormat="false" ht="17.35" hidden="false" customHeight="false" outlineLevel="0" collapsed="false">
      <c r="A73" s="8" t="s">
        <v>209</v>
      </c>
      <c r="B73" s="9" t="n">
        <v>44817</v>
      </c>
      <c r="C73" s="5" t="s">
        <v>16</v>
      </c>
      <c r="D73" s="5" t="s">
        <v>17</v>
      </c>
      <c r="E73" s="0" t="n">
        <v>0.8</v>
      </c>
      <c r="F73" s="5" t="s">
        <v>18</v>
      </c>
      <c r="G73" s="5" t="s">
        <v>19</v>
      </c>
      <c r="H73" s="0" t="n">
        <v>1</v>
      </c>
      <c r="I73" s="0" t="n">
        <v>17.3</v>
      </c>
      <c r="J73" s="5" t="s">
        <v>20</v>
      </c>
      <c r="K73" s="5" t="s">
        <v>20</v>
      </c>
      <c r="L73" s="5" t="s">
        <v>21</v>
      </c>
      <c r="M73" s="10" t="s">
        <v>204</v>
      </c>
      <c r="N73" s="10" t="s">
        <v>205</v>
      </c>
      <c r="O73" s="0" t="str">
        <f aca="false">_xlfn.CONCAT(M73," ",N73)</f>
        <v>45.14245 N 66.25058 W</v>
      </c>
      <c r="P73" s="5" t="s">
        <v>210</v>
      </c>
    </row>
    <row r="74" customFormat="false" ht="17.35" hidden="false" customHeight="false" outlineLevel="0" collapsed="false">
      <c r="A74" s="8" t="s">
        <v>211</v>
      </c>
      <c r="B74" s="9" t="n">
        <v>44817</v>
      </c>
      <c r="C74" s="5" t="s">
        <v>16</v>
      </c>
      <c r="D74" s="5" t="s">
        <v>17</v>
      </c>
      <c r="E74" s="0" t="n">
        <v>0.8</v>
      </c>
      <c r="F74" s="5" t="s">
        <v>18</v>
      </c>
      <c r="G74" s="5" t="s">
        <v>19</v>
      </c>
      <c r="H74" s="0" t="n">
        <v>1</v>
      </c>
      <c r="I74" s="0" t="n">
        <v>6.8</v>
      </c>
      <c r="J74" s="5" t="s">
        <v>20</v>
      </c>
      <c r="K74" s="5" t="s">
        <v>20</v>
      </c>
      <c r="L74" s="5" t="s">
        <v>21</v>
      </c>
      <c r="M74" s="10" t="s">
        <v>212</v>
      </c>
      <c r="N74" s="10" t="s">
        <v>213</v>
      </c>
      <c r="O74" s="0" t="str">
        <f aca="false">_xlfn.CONCAT(M74," ",N74)</f>
        <v>45.15794 N 66.25781 W</v>
      </c>
      <c r="P74" s="5" t="s">
        <v>214</v>
      </c>
    </row>
    <row r="75" customFormat="false" ht="17.35" hidden="false" customHeight="false" outlineLevel="0" collapsed="false">
      <c r="A75" s="8" t="s">
        <v>215</v>
      </c>
      <c r="B75" s="9" t="n">
        <v>44817</v>
      </c>
      <c r="C75" s="5" t="s">
        <v>16</v>
      </c>
      <c r="D75" s="5" t="s">
        <v>17</v>
      </c>
      <c r="E75" s="0" t="n">
        <v>0.8</v>
      </c>
      <c r="F75" s="5" t="s">
        <v>18</v>
      </c>
      <c r="G75" s="5" t="s">
        <v>19</v>
      </c>
      <c r="H75" s="0" t="n">
        <v>1</v>
      </c>
      <c r="I75" s="0" t="n">
        <v>6.8</v>
      </c>
      <c r="J75" s="5" t="s">
        <v>20</v>
      </c>
      <c r="K75" s="5" t="s">
        <v>20</v>
      </c>
      <c r="L75" s="5" t="s">
        <v>21</v>
      </c>
      <c r="M75" s="10" t="s">
        <v>212</v>
      </c>
      <c r="N75" s="10" t="s">
        <v>213</v>
      </c>
      <c r="O75" s="0" t="str">
        <f aca="false">_xlfn.CONCAT(M75," ",N75)</f>
        <v>45.15794 N 66.25781 W</v>
      </c>
      <c r="P75" s="5" t="s">
        <v>216</v>
      </c>
    </row>
    <row r="76" customFormat="false" ht="17.35" hidden="false" customHeight="false" outlineLevel="0" collapsed="false">
      <c r="A76" s="8" t="s">
        <v>217</v>
      </c>
      <c r="B76" s="9" t="n">
        <v>44817</v>
      </c>
      <c r="C76" s="5" t="s">
        <v>16</v>
      </c>
      <c r="D76" s="5" t="s">
        <v>17</v>
      </c>
      <c r="E76" s="0" t="n">
        <v>0.7</v>
      </c>
      <c r="F76" s="5" t="s">
        <v>18</v>
      </c>
      <c r="G76" s="5" t="s">
        <v>19</v>
      </c>
      <c r="H76" s="0" t="n">
        <v>1</v>
      </c>
      <c r="I76" s="0" t="n">
        <v>6.8</v>
      </c>
      <c r="J76" s="5" t="s">
        <v>20</v>
      </c>
      <c r="K76" s="5" t="s">
        <v>20</v>
      </c>
      <c r="L76" s="5" t="s">
        <v>21</v>
      </c>
      <c r="M76" s="10" t="s">
        <v>212</v>
      </c>
      <c r="N76" s="10" t="s">
        <v>213</v>
      </c>
      <c r="O76" s="0" t="str">
        <f aca="false">_xlfn.CONCAT(M76," ",N76)</f>
        <v>45.15794 N 66.25781 W</v>
      </c>
      <c r="P76" s="5" t="s">
        <v>218</v>
      </c>
    </row>
    <row r="77" customFormat="false" ht="17.35" hidden="false" customHeight="false" outlineLevel="0" collapsed="false">
      <c r="A77" s="8" t="s">
        <v>219</v>
      </c>
      <c r="B77" s="9" t="n">
        <v>44817</v>
      </c>
      <c r="C77" s="5" t="s">
        <v>16</v>
      </c>
      <c r="D77" s="5" t="s">
        <v>17</v>
      </c>
      <c r="E77" s="0" t="n">
        <v>0.8</v>
      </c>
      <c r="F77" s="5" t="s">
        <v>18</v>
      </c>
      <c r="G77" s="5" t="s">
        <v>19</v>
      </c>
      <c r="H77" s="0" t="n">
        <v>1</v>
      </c>
      <c r="I77" s="0" t="n">
        <v>8</v>
      </c>
      <c r="J77" s="5" t="s">
        <v>20</v>
      </c>
      <c r="K77" s="5" t="s">
        <v>20</v>
      </c>
      <c r="L77" s="5" t="s">
        <v>21</v>
      </c>
      <c r="M77" s="10" t="s">
        <v>220</v>
      </c>
      <c r="N77" s="10" t="s">
        <v>221</v>
      </c>
      <c r="O77" s="0" t="str">
        <f aca="false">_xlfn.CONCAT(M77," ",N77)</f>
        <v>45.15411 N 66.25410 W</v>
      </c>
      <c r="P77" s="5" t="s">
        <v>222</v>
      </c>
    </row>
    <row r="78" customFormat="false" ht="17.35" hidden="false" customHeight="false" outlineLevel="0" collapsed="false">
      <c r="A78" s="8" t="s">
        <v>223</v>
      </c>
      <c r="B78" s="9" t="n">
        <v>44817</v>
      </c>
      <c r="C78" s="5" t="s">
        <v>16</v>
      </c>
      <c r="D78" s="5" t="s">
        <v>17</v>
      </c>
      <c r="E78" s="0" t="n">
        <v>0.75</v>
      </c>
      <c r="F78" s="5" t="s">
        <v>18</v>
      </c>
      <c r="G78" s="5" t="s">
        <v>19</v>
      </c>
      <c r="H78" s="0" t="n">
        <v>1</v>
      </c>
      <c r="I78" s="0" t="n">
        <v>7.8</v>
      </c>
      <c r="J78" s="5" t="s">
        <v>20</v>
      </c>
      <c r="K78" s="5" t="s">
        <v>20</v>
      </c>
      <c r="L78" s="5" t="s">
        <v>21</v>
      </c>
      <c r="M78" s="10" t="s">
        <v>224</v>
      </c>
      <c r="N78" s="10" t="s">
        <v>225</v>
      </c>
      <c r="O78" s="0" t="str">
        <f aca="false">_xlfn.CONCAT(M78," ",N78)</f>
        <v>45.15398 N 66.23505 W</v>
      </c>
      <c r="P78" s="5" t="s">
        <v>226</v>
      </c>
    </row>
    <row r="79" customFormat="false" ht="17.35" hidden="false" customHeight="false" outlineLevel="0" collapsed="false">
      <c r="A79" s="8" t="s">
        <v>227</v>
      </c>
      <c r="B79" s="9" t="n">
        <v>44817</v>
      </c>
      <c r="C79" s="5" t="s">
        <v>16</v>
      </c>
      <c r="D79" s="5" t="s">
        <v>17</v>
      </c>
      <c r="E79" s="0" t="n">
        <v>0.75</v>
      </c>
      <c r="F79" s="5" t="s">
        <v>18</v>
      </c>
      <c r="G79" s="5" t="s">
        <v>19</v>
      </c>
      <c r="H79" s="0" t="n">
        <v>1</v>
      </c>
      <c r="I79" s="0" t="n">
        <v>7.8</v>
      </c>
      <c r="J79" s="5" t="s">
        <v>20</v>
      </c>
      <c r="K79" s="5" t="s">
        <v>20</v>
      </c>
      <c r="L79" s="5" t="s">
        <v>21</v>
      </c>
      <c r="M79" s="10" t="s">
        <v>224</v>
      </c>
      <c r="N79" s="10" t="s">
        <v>225</v>
      </c>
      <c r="O79" s="0" t="str">
        <f aca="false">_xlfn.CONCAT(M79," ",N79)</f>
        <v>45.15398 N 66.23505 W</v>
      </c>
      <c r="P79" s="5" t="s">
        <v>228</v>
      </c>
    </row>
    <row r="80" customFormat="false" ht="17.35" hidden="false" customHeight="false" outlineLevel="0" collapsed="false">
      <c r="A80" s="8" t="s">
        <v>229</v>
      </c>
      <c r="B80" s="9" t="n">
        <v>44817</v>
      </c>
      <c r="C80" s="5" t="s">
        <v>16</v>
      </c>
      <c r="D80" s="5" t="s">
        <v>17</v>
      </c>
      <c r="E80" s="0" t="n">
        <v>0.75</v>
      </c>
      <c r="F80" s="5" t="s">
        <v>18</v>
      </c>
      <c r="G80" s="5" t="s">
        <v>19</v>
      </c>
      <c r="H80" s="0" t="n">
        <v>1</v>
      </c>
      <c r="I80" s="0" t="n">
        <v>7.8</v>
      </c>
      <c r="J80" s="5" t="s">
        <v>20</v>
      </c>
      <c r="K80" s="5" t="s">
        <v>20</v>
      </c>
      <c r="L80" s="5" t="s">
        <v>21</v>
      </c>
      <c r="M80" s="10" t="s">
        <v>224</v>
      </c>
      <c r="N80" s="10" t="s">
        <v>225</v>
      </c>
      <c r="O80" s="0" t="str">
        <f aca="false">_xlfn.CONCAT(M80," ",N80)</f>
        <v>45.15398 N 66.23505 W</v>
      </c>
      <c r="P80" s="5" t="s">
        <v>230</v>
      </c>
    </row>
    <row r="81" customFormat="false" ht="17.35" hidden="false" customHeight="false" outlineLevel="0" collapsed="false">
      <c r="A81" s="8" t="s">
        <v>231</v>
      </c>
      <c r="B81" s="9" t="n">
        <v>44817</v>
      </c>
      <c r="C81" s="5" t="s">
        <v>16</v>
      </c>
      <c r="D81" s="5" t="s">
        <v>17</v>
      </c>
      <c r="E81" s="0" t="n">
        <v>0.8</v>
      </c>
      <c r="F81" s="5" t="s">
        <v>18</v>
      </c>
      <c r="G81" s="5" t="s">
        <v>19</v>
      </c>
      <c r="H81" s="0" t="n">
        <v>7</v>
      </c>
      <c r="I81" s="0" t="n">
        <v>7.8</v>
      </c>
      <c r="J81" s="5" t="s">
        <v>20</v>
      </c>
      <c r="K81" s="5" t="s">
        <v>20</v>
      </c>
      <c r="L81" s="5" t="s">
        <v>21</v>
      </c>
      <c r="M81" s="10" t="s">
        <v>224</v>
      </c>
      <c r="N81" s="10" t="s">
        <v>225</v>
      </c>
      <c r="O81" s="0" t="str">
        <f aca="false">_xlfn.CONCAT(M81," ",N81)</f>
        <v>45.15398 N 66.23505 W</v>
      </c>
      <c r="P81" s="5" t="s">
        <v>232</v>
      </c>
    </row>
    <row r="82" customFormat="false" ht="17.35" hidden="false" customHeight="false" outlineLevel="0" collapsed="false">
      <c r="A82" s="8" t="s">
        <v>233</v>
      </c>
      <c r="B82" s="9" t="n">
        <v>44817</v>
      </c>
      <c r="C82" s="5" t="s">
        <v>16</v>
      </c>
      <c r="D82" s="5" t="s">
        <v>17</v>
      </c>
      <c r="E82" s="0" t="n">
        <v>0.75</v>
      </c>
      <c r="F82" s="5" t="s">
        <v>18</v>
      </c>
      <c r="G82" s="5" t="s">
        <v>19</v>
      </c>
      <c r="H82" s="0" t="n">
        <v>7</v>
      </c>
      <c r="I82" s="0" t="n">
        <v>7.8</v>
      </c>
      <c r="J82" s="5" t="s">
        <v>20</v>
      </c>
      <c r="K82" s="5" t="s">
        <v>20</v>
      </c>
      <c r="L82" s="5" t="s">
        <v>21</v>
      </c>
      <c r="M82" s="10" t="s">
        <v>224</v>
      </c>
      <c r="N82" s="10" t="s">
        <v>225</v>
      </c>
      <c r="O82" s="0" t="str">
        <f aca="false">_xlfn.CONCAT(M82," ",N82)</f>
        <v>45.15398 N 66.23505 W</v>
      </c>
      <c r="P82" s="5" t="s">
        <v>234</v>
      </c>
    </row>
    <row r="83" customFormat="false" ht="17.35" hidden="false" customHeight="false" outlineLevel="0" collapsed="false">
      <c r="A83" s="8" t="s">
        <v>235</v>
      </c>
      <c r="B83" s="9" t="n">
        <v>44817</v>
      </c>
      <c r="C83" s="5" t="s">
        <v>16</v>
      </c>
      <c r="D83" s="5" t="s">
        <v>17</v>
      </c>
      <c r="E83" s="0" t="n">
        <v>0.8</v>
      </c>
      <c r="F83" s="5" t="s">
        <v>18</v>
      </c>
      <c r="G83" s="5" t="s">
        <v>19</v>
      </c>
      <c r="H83" s="0" t="n">
        <v>7</v>
      </c>
      <c r="I83" s="0" t="n">
        <v>7.8</v>
      </c>
      <c r="J83" s="5" t="s">
        <v>20</v>
      </c>
      <c r="K83" s="5" t="s">
        <v>20</v>
      </c>
      <c r="L83" s="5" t="s">
        <v>21</v>
      </c>
      <c r="M83" s="10" t="s">
        <v>224</v>
      </c>
      <c r="N83" s="10" t="s">
        <v>225</v>
      </c>
      <c r="O83" s="0" t="str">
        <f aca="false">_xlfn.CONCAT(M83," ",N83)</f>
        <v>45.15398 N 66.23505 W</v>
      </c>
      <c r="P83" s="5" t="s">
        <v>236</v>
      </c>
    </row>
    <row r="84" customFormat="false" ht="17.35" hidden="false" customHeight="false" outlineLevel="0" collapsed="false">
      <c r="A84" s="8" t="s">
        <v>237</v>
      </c>
      <c r="B84" s="9" t="n">
        <v>44816</v>
      </c>
      <c r="C84" s="5" t="s">
        <v>238</v>
      </c>
      <c r="D84" s="5" t="s">
        <v>17</v>
      </c>
      <c r="E84" s="0" t="n">
        <v>0.55</v>
      </c>
      <c r="F84" s="5" t="s">
        <v>18</v>
      </c>
      <c r="G84" s="5" t="s">
        <v>19</v>
      </c>
      <c r="H84" s="5" t="s">
        <v>20</v>
      </c>
      <c r="I84" s="5" t="s">
        <v>20</v>
      </c>
      <c r="J84" s="5" t="s">
        <v>20</v>
      </c>
      <c r="K84" s="5" t="s">
        <v>20</v>
      </c>
      <c r="L84" s="5" t="s">
        <v>21</v>
      </c>
      <c r="M84" s="5" t="s">
        <v>20</v>
      </c>
      <c r="N84" s="5" t="s">
        <v>20</v>
      </c>
      <c r="O84" s="0" t="str">
        <f aca="false">_xlfn.CONCAT(M84," ",N84)</f>
        <v>na na</v>
      </c>
      <c r="P84" s="5" t="s">
        <v>239</v>
      </c>
    </row>
    <row r="85" customFormat="false" ht="17.35" hidden="false" customHeight="false" outlineLevel="0" collapsed="false">
      <c r="A85" s="8" t="s">
        <v>240</v>
      </c>
      <c r="B85" s="9" t="n">
        <v>44817</v>
      </c>
      <c r="C85" s="5" t="s">
        <v>238</v>
      </c>
      <c r="D85" s="5" t="s">
        <v>17</v>
      </c>
      <c r="E85" s="0" t="n">
        <v>0.65</v>
      </c>
      <c r="F85" s="5" t="s">
        <v>18</v>
      </c>
      <c r="G85" s="5" t="s">
        <v>19</v>
      </c>
      <c r="H85" s="5" t="s">
        <v>20</v>
      </c>
      <c r="I85" s="5" t="s">
        <v>20</v>
      </c>
      <c r="J85" s="5" t="s">
        <v>20</v>
      </c>
      <c r="K85" s="5" t="s">
        <v>20</v>
      </c>
      <c r="L85" s="5" t="s">
        <v>21</v>
      </c>
      <c r="M85" s="5" t="s">
        <v>20</v>
      </c>
      <c r="N85" s="5" t="s">
        <v>20</v>
      </c>
      <c r="O85" s="0" t="str">
        <f aca="false">_xlfn.CONCAT(M85," ",N85)</f>
        <v>na na</v>
      </c>
      <c r="P85" s="5" t="s">
        <v>241</v>
      </c>
    </row>
    <row r="86" customFormat="false" ht="17.35" hidden="false" customHeight="false" outlineLevel="0" collapsed="false">
      <c r="A86" s="8" t="s">
        <v>242</v>
      </c>
      <c r="B86" s="9" t="n">
        <v>44896</v>
      </c>
      <c r="C86" s="5" t="s">
        <v>243</v>
      </c>
      <c r="D86" s="5" t="s">
        <v>17</v>
      </c>
      <c r="E86" s="0" t="n">
        <v>0.8</v>
      </c>
      <c r="F86" s="5" t="s">
        <v>18</v>
      </c>
      <c r="G86" s="5" t="s">
        <v>19</v>
      </c>
      <c r="H86" s="5" t="s">
        <v>20</v>
      </c>
      <c r="I86" s="5" t="s">
        <v>20</v>
      </c>
      <c r="J86" s="5" t="s">
        <v>20</v>
      </c>
      <c r="K86" s="5" t="s">
        <v>20</v>
      </c>
      <c r="L86" s="5" t="s">
        <v>21</v>
      </c>
      <c r="M86" s="5" t="s">
        <v>20</v>
      </c>
      <c r="N86" s="5" t="s">
        <v>20</v>
      </c>
      <c r="O86" s="0" t="str">
        <f aca="false">_xlfn.CONCAT(M86," ",N86)</f>
        <v>na na</v>
      </c>
      <c r="P86" s="5" t="s">
        <v>244</v>
      </c>
    </row>
    <row r="87" customFormat="false" ht="17.35" hidden="false" customHeight="false" outlineLevel="0" collapsed="false">
      <c r="A87" s="8" t="s">
        <v>245</v>
      </c>
      <c r="B87" s="9" t="n">
        <v>44896</v>
      </c>
      <c r="C87" s="5" t="s">
        <v>243</v>
      </c>
      <c r="D87" s="5" t="s">
        <v>17</v>
      </c>
      <c r="E87" s="0" t="n">
        <v>0.8</v>
      </c>
      <c r="F87" s="5" t="s">
        <v>18</v>
      </c>
      <c r="G87" s="5" t="s">
        <v>19</v>
      </c>
      <c r="H87" s="5" t="s">
        <v>20</v>
      </c>
      <c r="I87" s="5" t="s">
        <v>20</v>
      </c>
      <c r="J87" s="5" t="s">
        <v>20</v>
      </c>
      <c r="K87" s="5" t="s">
        <v>20</v>
      </c>
      <c r="L87" s="5" t="s">
        <v>21</v>
      </c>
      <c r="M87" s="5" t="s">
        <v>20</v>
      </c>
      <c r="N87" s="5" t="s">
        <v>20</v>
      </c>
      <c r="O87" s="0" t="str">
        <f aca="false">_xlfn.CONCAT(M87," ",N87)</f>
        <v>na na</v>
      </c>
      <c r="P87" s="5" t="s">
        <v>246</v>
      </c>
    </row>
  </sheetData>
  <printOptions headings="false" gridLines="false" gridLinesSet="true" horizontalCentered="false" verticalCentered="false"/>
  <pageMargins left="0.708333333333333" right="0.708333333333333" top="0.748611111111111" bottom="0.748611111111111" header="0.315277777777778" footer="0.315277777777778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&amp;CPage &amp;P of &amp;N</oddFooter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13" activeCellId="0" sqref="C13"/>
    </sheetView>
  </sheetViews>
  <sheetFormatPr defaultColWidth="8.5390625" defaultRowHeight="15" zeroHeight="false" outlineLevelRow="0" outlineLevelCol="0"/>
  <cols>
    <col collapsed="false" customWidth="true" hidden="false" outlineLevel="0" max="1" min="1" style="11" width="16.14"/>
    <col collapsed="false" customWidth="true" hidden="false" outlineLevel="0" max="2" min="2" style="0" width="20.57"/>
    <col collapsed="false" customWidth="true" hidden="false" outlineLevel="0" max="3" min="3" style="0" width="250"/>
  </cols>
  <sheetData>
    <row r="1" customFormat="false" ht="15" hidden="false" customHeight="false" outlineLevel="0" collapsed="false">
      <c r="A1" s="12" t="s">
        <v>247</v>
      </c>
      <c r="B1" s="13" t="s">
        <v>248</v>
      </c>
      <c r="C1" s="14" t="s">
        <v>249</v>
      </c>
    </row>
    <row r="2" customFormat="false" ht="15" hidden="false" customHeight="false" outlineLevel="0" collapsed="false">
      <c r="A2" s="15" t="n">
        <v>1</v>
      </c>
      <c r="B2" s="16" t="s">
        <v>0</v>
      </c>
      <c r="C2" s="17" t="s">
        <v>250</v>
      </c>
    </row>
    <row r="3" customFormat="false" ht="15" hidden="false" customHeight="false" outlineLevel="0" collapsed="false">
      <c r="A3" s="15" t="n">
        <v>2</v>
      </c>
      <c r="B3" s="16" t="s">
        <v>1</v>
      </c>
      <c r="C3" s="17" t="s">
        <v>251</v>
      </c>
    </row>
    <row r="4" customFormat="false" ht="15" hidden="false" customHeight="false" outlineLevel="0" collapsed="false">
      <c r="A4" s="15" t="n">
        <v>3</v>
      </c>
      <c r="B4" s="16" t="s">
        <v>2</v>
      </c>
      <c r="C4" s="17" t="s">
        <v>252</v>
      </c>
    </row>
    <row r="5" customFormat="false" ht="15" hidden="false" customHeight="false" outlineLevel="0" collapsed="false">
      <c r="A5" s="15" t="n">
        <v>4</v>
      </c>
      <c r="B5" s="16" t="s">
        <v>3</v>
      </c>
      <c r="C5" s="17" t="s">
        <v>253</v>
      </c>
    </row>
    <row r="6" customFormat="false" ht="15" hidden="false" customHeight="false" outlineLevel="0" collapsed="false">
      <c r="A6" s="15" t="n">
        <v>5</v>
      </c>
      <c r="B6" s="18" t="s">
        <v>6</v>
      </c>
      <c r="C6" s="17" t="s">
        <v>254</v>
      </c>
    </row>
    <row r="7" customFormat="false" ht="15" hidden="false" customHeight="false" outlineLevel="0" collapsed="false">
      <c r="A7" s="15" t="n">
        <v>6</v>
      </c>
      <c r="B7" s="18" t="s">
        <v>5</v>
      </c>
      <c r="C7" s="17" t="s">
        <v>255</v>
      </c>
    </row>
    <row r="8" customFormat="false" ht="15" hidden="false" customHeight="false" outlineLevel="0" collapsed="false">
      <c r="A8" s="15" t="n">
        <v>7</v>
      </c>
      <c r="B8" s="16" t="s">
        <v>4</v>
      </c>
      <c r="C8" s="17" t="s">
        <v>256</v>
      </c>
    </row>
    <row r="9" customFormat="false" ht="15" hidden="false" customHeight="false" outlineLevel="0" collapsed="false">
      <c r="A9" s="15" t="n">
        <v>8</v>
      </c>
      <c r="B9" s="16" t="s">
        <v>7</v>
      </c>
      <c r="C9" s="17" t="s">
        <v>257</v>
      </c>
    </row>
    <row r="10" customFormat="false" ht="15" hidden="false" customHeight="false" outlineLevel="0" collapsed="false">
      <c r="A10" s="15" t="n">
        <v>9</v>
      </c>
      <c r="B10" s="16" t="s">
        <v>8</v>
      </c>
      <c r="C10" s="17" t="s">
        <v>258</v>
      </c>
    </row>
    <row r="11" customFormat="false" ht="15" hidden="false" customHeight="false" outlineLevel="0" collapsed="false">
      <c r="A11" s="15" t="n">
        <v>10</v>
      </c>
      <c r="B11" s="16" t="s">
        <v>9</v>
      </c>
      <c r="C11" s="17" t="s">
        <v>259</v>
      </c>
    </row>
    <row r="12" customFormat="false" ht="15" hidden="false" customHeight="false" outlineLevel="0" collapsed="false">
      <c r="A12" s="15" t="n">
        <v>11</v>
      </c>
      <c r="B12" s="16" t="s">
        <v>10</v>
      </c>
      <c r="C12" s="17" t="s">
        <v>260</v>
      </c>
    </row>
    <row r="13" customFormat="false" ht="15" hidden="false" customHeight="false" outlineLevel="0" collapsed="false">
      <c r="A13" s="15" t="n">
        <v>12</v>
      </c>
      <c r="B13" s="16" t="s">
        <v>11</v>
      </c>
      <c r="C13" s="17" t="s">
        <v>261</v>
      </c>
      <c r="F13" s="3"/>
    </row>
    <row r="14" customFormat="false" ht="15" hidden="false" customHeight="false" outlineLevel="0" collapsed="false">
      <c r="A14" s="15" t="n">
        <v>13</v>
      </c>
      <c r="B14" s="16" t="s">
        <v>12</v>
      </c>
      <c r="C14" s="17" t="s">
        <v>262</v>
      </c>
      <c r="D14" s="3"/>
    </row>
    <row r="15" customFormat="false" ht="15" hidden="false" customHeight="false" outlineLevel="0" collapsed="false">
      <c r="A15" s="15" t="n">
        <v>14</v>
      </c>
      <c r="B15" s="16" t="s">
        <v>13</v>
      </c>
      <c r="C15" s="17" t="s">
        <v>263</v>
      </c>
      <c r="D15" s="3"/>
    </row>
    <row r="16" customFormat="false" ht="15" hidden="false" customHeight="false" outlineLevel="0" collapsed="false">
      <c r="A16" s="19"/>
      <c r="B16" s="16"/>
      <c r="C16" s="16"/>
    </row>
    <row r="17" customFormat="false" ht="15" hidden="false" customHeight="false" outlineLevel="0" collapsed="false">
      <c r="B17" s="16"/>
      <c r="C17" s="16"/>
    </row>
    <row r="18" customFormat="false" ht="15" hidden="false" customHeight="false" outlineLevel="0" collapsed="false">
      <c r="A18" s="12" t="s">
        <v>264</v>
      </c>
      <c r="B18" s="13" t="s">
        <v>248</v>
      </c>
      <c r="C18" s="14" t="s">
        <v>249</v>
      </c>
    </row>
    <row r="19" customFormat="false" ht="15" hidden="false" customHeight="false" outlineLevel="0" collapsed="false">
      <c r="B19" s="18" t="s">
        <v>265</v>
      </c>
      <c r="C19" s="17" t="s">
        <v>266</v>
      </c>
      <c r="D19" s="3"/>
    </row>
    <row r="20" customFormat="false" ht="15" hidden="false" customHeight="false" outlineLevel="0" collapsed="false">
      <c r="B20" s="18" t="s">
        <v>267</v>
      </c>
      <c r="C20" s="17" t="s">
        <v>268</v>
      </c>
    </row>
    <row r="21" customFormat="false" ht="15" hidden="false" customHeight="false" outlineLevel="0" collapsed="false">
      <c r="B21" s="18" t="s">
        <v>269</v>
      </c>
      <c r="C21" s="17" t="s">
        <v>270</v>
      </c>
    </row>
    <row r="22" customFormat="false" ht="15" hidden="false" customHeight="false" outlineLevel="0" collapsed="false">
      <c r="B22" s="18" t="s">
        <v>271</v>
      </c>
      <c r="C22" s="17" t="s">
        <v>272</v>
      </c>
    </row>
    <row r="23" customFormat="false" ht="15" hidden="false" customHeight="false" outlineLevel="0" collapsed="false">
      <c r="B23" s="18" t="s">
        <v>273</v>
      </c>
      <c r="C23" s="17" t="s">
        <v>274</v>
      </c>
    </row>
    <row r="24" customFormat="false" ht="15" hidden="false" customHeight="false" outlineLevel="0" collapsed="false">
      <c r="B24" s="18" t="s">
        <v>275</v>
      </c>
      <c r="C24" s="17" t="s">
        <v>276</v>
      </c>
      <c r="D24" s="3"/>
    </row>
    <row r="25" customFormat="false" ht="15" hidden="false" customHeight="false" outlineLevel="0" collapsed="false">
      <c r="B25" s="18" t="s">
        <v>277</v>
      </c>
      <c r="C25" s="17" t="s">
        <v>278</v>
      </c>
      <c r="D25" s="3"/>
    </row>
    <row r="26" customFormat="false" ht="15" hidden="false" customHeight="false" outlineLevel="0" collapsed="false">
      <c r="B26" s="18" t="s">
        <v>279</v>
      </c>
      <c r="C26" s="17" t="s">
        <v>280</v>
      </c>
      <c r="D26" s="3"/>
    </row>
    <row r="27" customFormat="false" ht="15" hidden="false" customHeight="false" outlineLevel="0" collapsed="false">
      <c r="B27" s="18" t="s">
        <v>281</v>
      </c>
      <c r="C27" s="17" t="s">
        <v>282</v>
      </c>
    </row>
    <row r="28" customFormat="false" ht="15" hidden="false" customHeight="false" outlineLevel="0" collapsed="false">
      <c r="B28" s="18" t="s">
        <v>283</v>
      </c>
      <c r="C28" s="17" t="s">
        <v>284</v>
      </c>
      <c r="D28" s="3"/>
    </row>
    <row r="29" customFormat="false" ht="15" hidden="false" customHeight="false" outlineLevel="0" collapsed="false">
      <c r="B29" s="18" t="s">
        <v>285</v>
      </c>
      <c r="C29" s="17" t="s">
        <v>286</v>
      </c>
      <c r="D29" s="3"/>
    </row>
    <row r="30" customFormat="false" ht="15" hidden="false" customHeight="false" outlineLevel="0" collapsed="false">
      <c r="B30" s="18" t="s">
        <v>287</v>
      </c>
      <c r="C30" s="17" t="s">
        <v>288</v>
      </c>
    </row>
    <row r="31" customFormat="false" ht="15" hidden="false" customHeight="false" outlineLevel="0" collapsed="false">
      <c r="B31" s="16" t="s">
        <v>289</v>
      </c>
      <c r="C31" s="17" t="s">
        <v>290</v>
      </c>
      <c r="D31" s="3"/>
    </row>
    <row r="32" customFormat="false" ht="15" hidden="false" customHeight="false" outlineLevel="0" collapsed="false">
      <c r="B32" s="16" t="s">
        <v>291</v>
      </c>
      <c r="C32" s="17" t="s">
        <v>292</v>
      </c>
      <c r="D32" s="3"/>
    </row>
    <row r="33" customFormat="false" ht="15" hidden="false" customHeight="false" outlineLevel="0" collapsed="false">
      <c r="B33" s="16" t="s">
        <v>293</v>
      </c>
      <c r="C33" s="17" t="s">
        <v>294</v>
      </c>
      <c r="D33" s="3"/>
    </row>
    <row r="34" customFormat="false" ht="15" hidden="false" customHeight="false" outlineLevel="0" collapsed="false">
      <c r="B34" s="18" t="s">
        <v>295</v>
      </c>
      <c r="C34" s="17" t="s">
        <v>296</v>
      </c>
    </row>
    <row r="35" customFormat="false" ht="15" hidden="false" customHeight="false" outlineLevel="0" collapsed="false">
      <c r="B35" s="18"/>
      <c r="C35" s="16"/>
    </row>
    <row r="36" customFormat="false" ht="15" hidden="false" customHeight="false" outlineLevel="0" collapsed="false">
      <c r="B36" s="16"/>
      <c r="C36" s="16"/>
    </row>
    <row r="37" customFormat="false" ht="15" hidden="false" customHeight="false" outlineLevel="0" collapsed="false">
      <c r="A37" s="12" t="s">
        <v>297</v>
      </c>
      <c r="B37" s="13" t="s">
        <v>248</v>
      </c>
      <c r="C37" s="14" t="s">
        <v>249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1DE20524B1646996F108DFEC5C3AE" ma:contentTypeVersion="16" ma:contentTypeDescription="Create a new document." ma:contentTypeScope="" ma:versionID="9082eba4a1dd43c5012e8d397c0a7056">
  <xsd:schema xmlns:xsd="http://www.w3.org/2001/XMLSchema" xmlns:xs="http://www.w3.org/2001/XMLSchema" xmlns:p="http://schemas.microsoft.com/office/2006/metadata/properties" xmlns:ns2="40a4eb96-79ee-4274-8e05-d317776155e2" xmlns:ns3="a1864f8d-5e46-4359-b8a8-4833ae913245" targetNamespace="http://schemas.microsoft.com/office/2006/metadata/properties" ma:root="true" ma:fieldsID="6084738071afe74519909bf3c43cc333" ns2:_="" ns3:_="">
    <xsd:import namespace="40a4eb96-79ee-4274-8e05-d317776155e2"/>
    <xsd:import namespace="a1864f8d-5e46-4359-b8a8-4833ae9132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4eb96-79ee-4274-8e05-d317776155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a3bde7-25f4-4f96-a07b-65495f2cba38}" ma:internalName="TaxCatchAll" ma:showField="CatchAllData" ma:web="40a4eb96-79ee-4274-8e05-d31777615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64f8d-5e46-4359-b8a8-4833ae9132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1d4bfd-4676-42df-ab16-469f2e47a4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0a4eb96-79ee-4274-8e05-d317776155e2">
      <UserInfo>
        <DisplayName/>
        <AccountId xsi:nil="true"/>
        <AccountType/>
      </UserInfo>
    </SharedWithUsers>
    <lcf76f155ced4ddcb4097134ff3c332f xmlns="a1864f8d-5e46-4359-b8a8-4833ae913245">
      <Terms xmlns="http://schemas.microsoft.com/office/infopath/2007/PartnerControls"/>
    </lcf76f155ced4ddcb4097134ff3c332f>
    <TaxCatchAll xmlns="40a4eb96-79ee-4274-8e05-d317776155e2" xsi:nil="true"/>
  </documentManagement>
</p:properties>
</file>

<file path=customXml/itemProps1.xml><?xml version="1.0" encoding="utf-8"?>
<ds:datastoreItem xmlns:ds="http://schemas.openxmlformats.org/officeDocument/2006/customXml" ds:itemID="{E8398C57-1F2C-4FDC-96E4-748A4D9A9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20EF07-8638-4CB0-9F5D-B1CDF6FA5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4eb96-79ee-4274-8e05-d317776155e2"/>
    <ds:schemaRef ds:uri="a1864f8d-5e46-4359-b8a8-4833ae9132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4AAF3A-6195-43C6-B699-1089C0A28BAB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1864f8d-5e46-4359-b8a8-4833ae913245"/>
    <ds:schemaRef ds:uri="http://www.w3.org/XML/1998/namespace"/>
    <ds:schemaRef ds:uri="40a4eb96-79ee-4274-8e05-d317776155e2"/>
    <ds:schemaRef ds:uri="http://schemas.microsoft.com/office/2006/metadata/properties"/>
    <ds:schemaRef ds:uri="http://purl.org/dc/terms/"/>
    <ds:schemaRef ds:uri="c21fcecc-1783-430a-b8b3-8c751a5ddd8b"/>
    <ds:schemaRef ds:uri="4f0ec61f-a0db-4ac6-b246-db6e1eb8a76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2016-09-02T12:11:51Z</dcterms:created>
  <dc:creator>Nicole</dc:creator>
  <dc:description/>
  <dc:language>en-CA</dc:language>
  <cp:lastModifiedBy/>
  <cp:lastPrinted>2022-12-13T13:40:42Z</cp:lastPrinted>
  <dcterms:modified xsi:type="dcterms:W3CDTF">2025-12-04T15:44:59Z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0x010100A911DE20524B1646996F108DFEC5C3AE</vt:lpwstr>
  </property>
  <property fmtid="{D5CDD505-2E9C-101B-9397-08002B2CF9AE}" pid="4" name="MediaServiceImageTags">
    <vt:lpwstr/>
  </property>
  <property fmtid="{D5CDD505-2E9C-101B-9397-08002B2CF9AE}" pid="5" name="NFReviewed?">
    <vt:bool>0</vt:bool>
  </property>
  <property fmtid="{D5CDD505-2E9C-101B-9397-08002B2CF9AE}" pid="6" name="Order">
    <vt:r8>3939800</vt:r8>
  </property>
  <property fmtid="{D5CDD505-2E9C-101B-9397-08002B2CF9AE}" pid="7" name="ReadyforNF">
    <vt:bool>1</vt:bool>
  </property>
  <property fmtid="{D5CDD505-2E9C-101B-9397-08002B2CF9AE}" pid="8" name="Reviewed">
    <vt:bool>0</vt:bool>
  </property>
  <property fmtid="{D5CDD505-2E9C-101B-9397-08002B2CF9AE}" pid="9" name="Reviewed?">
    <vt:bool>1</vt:bool>
  </property>
  <property fmtid="{D5CDD505-2E9C-101B-9397-08002B2CF9AE}" pid="10" name="TemplateUrl">
    <vt:lpwstr/>
  </property>
  <property fmtid="{D5CDD505-2E9C-101B-9397-08002B2CF9AE}" pid="11" name="TriggerFlowInfo">
    <vt:lpwstr/>
  </property>
  <property fmtid="{D5CDD505-2E9C-101B-9397-08002B2CF9AE}" pid="12" name="_ExtendedDescription">
    <vt:lpwstr/>
  </property>
  <property fmtid="{D5CDD505-2E9C-101B-9397-08002B2CF9AE}" pid="13" name="xd_ProgID">
    <vt:lpwstr/>
  </property>
  <property fmtid="{D5CDD505-2E9C-101B-9397-08002B2CF9AE}" pid="14" name="xd_Signature">
    <vt:bool>0</vt:bool>
  </property>
</Properties>
</file>