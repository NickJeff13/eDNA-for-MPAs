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ERYN\Documents\GitHub\eDNA-for-MPAs\data\SAB_ARMS\"/>
    </mc:Choice>
  </mc:AlternateContent>
  <xr:revisionPtr revIDLastSave="0" documentId="8_{CA807421-F698-49CF-A9C2-37D69738742A}" xr6:coauthVersionLast="47" xr6:coauthVersionMax="47" xr10:uidLastSave="{00000000-0000-0000-0000-000000000000}"/>
  <bookViews>
    <workbookView xWindow="-120" yWindow="-120" windowWidth="29040" windowHeight="15720" xr2:uid="{DF36FBE4-F44D-40BB-AA35-A6E8D0ED68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1" l="1"/>
  <c r="I32" i="1"/>
  <c r="J32" i="1" s="1"/>
  <c r="I31" i="1"/>
  <c r="J31" i="1" s="1"/>
  <c r="I30" i="1"/>
  <c r="J30" i="1" s="1"/>
  <c r="J29" i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J19" i="1"/>
  <c r="J18" i="1"/>
  <c r="I18" i="1"/>
  <c r="J17" i="1"/>
  <c r="I17" i="1"/>
  <c r="I16" i="1"/>
  <c r="J16" i="1" s="1"/>
  <c r="J15" i="1"/>
  <c r="I14" i="1"/>
  <c r="J14" i="1" s="1"/>
  <c r="I13" i="1"/>
  <c r="J13" i="1" s="1"/>
  <c r="I12" i="1"/>
  <c r="J12" i="1" s="1"/>
  <c r="J11" i="1"/>
  <c r="I10" i="1"/>
  <c r="J10" i="1" s="1"/>
  <c r="I9" i="1"/>
  <c r="J9" i="1" s="1"/>
  <c r="I8" i="1"/>
  <c r="J8" i="1" s="1"/>
  <c r="J7" i="1"/>
  <c r="I6" i="1"/>
  <c r="J6" i="1" s="1"/>
  <c r="I5" i="1"/>
  <c r="J5" i="1" s="1"/>
  <c r="I4" i="1"/>
  <c r="J4" i="1" s="1"/>
</calcChain>
</file>

<file path=xl/sharedStrings.xml><?xml version="1.0" encoding="utf-8"?>
<sst xmlns="http://schemas.openxmlformats.org/spreadsheetml/2006/main" count="135" uniqueCount="69">
  <si>
    <t>St ANNS BANK MPA - EDNA SAMPLES 2023-2025</t>
  </si>
  <si>
    <t>Final multiplexing</t>
  </si>
  <si>
    <t>December, 2028</t>
  </si>
  <si>
    <t>July, 2025</t>
  </si>
  <si>
    <t>To make 100ng in 20ul</t>
  </si>
  <si>
    <t>Multiplexed</t>
  </si>
  <si>
    <t>Tube</t>
  </si>
  <si>
    <t>F-MER</t>
  </si>
  <si>
    <t>R-MER</t>
  </si>
  <si>
    <t>Sample</t>
  </si>
  <si>
    <t>DEPLOYMENT</t>
  </si>
  <si>
    <t>RETRIEVAL</t>
  </si>
  <si>
    <t>Ng/ul</t>
  </si>
  <si>
    <t>DNA</t>
  </si>
  <si>
    <t>H20</t>
  </si>
  <si>
    <t>Take</t>
  </si>
  <si>
    <t>S511A</t>
  </si>
  <si>
    <t>N704A</t>
  </si>
  <si>
    <t>0-I</t>
  </si>
  <si>
    <t>Curdo Bank</t>
  </si>
  <si>
    <t>S510A</t>
  </si>
  <si>
    <t>N701A</t>
  </si>
  <si>
    <t>0-II</t>
  </si>
  <si>
    <t>S505A</t>
  </si>
  <si>
    <t>N703A</t>
  </si>
  <si>
    <t>0-III</t>
  </si>
  <si>
    <t>S502A</t>
  </si>
  <si>
    <t>0-CONTROL</t>
  </si>
  <si>
    <t>Curdo-Cont</t>
  </si>
  <si>
    <t>S503A</t>
  </si>
  <si>
    <t>N702A</t>
  </si>
  <si>
    <t>3-I</t>
  </si>
  <si>
    <t>East SAB</t>
  </si>
  <si>
    <t>3-II</t>
  </si>
  <si>
    <t>3-III</t>
  </si>
  <si>
    <t>S508A</t>
  </si>
  <si>
    <t>3-CONTROL</t>
  </si>
  <si>
    <t>East SAB-Cont</t>
  </si>
  <si>
    <t>1-I</t>
  </si>
  <si>
    <t>West SAB</t>
  </si>
  <si>
    <t>1-II</t>
  </si>
  <si>
    <t>1-III</t>
  </si>
  <si>
    <t>S507A</t>
  </si>
  <si>
    <t>1-CONTROL</t>
  </si>
  <si>
    <t>West SAB-Cont</t>
  </si>
  <si>
    <t>4-I</t>
  </si>
  <si>
    <t>SAB-ARMS</t>
  </si>
  <si>
    <t>4-II</t>
  </si>
  <si>
    <t>4-III</t>
  </si>
  <si>
    <t>S506A</t>
  </si>
  <si>
    <t>4-CONTROL</t>
  </si>
  <si>
    <t>SAB-ARMS-Cont</t>
  </si>
  <si>
    <t>1-A</t>
  </si>
  <si>
    <t>1-B</t>
  </si>
  <si>
    <t>1-C</t>
  </si>
  <si>
    <t>2-A</t>
  </si>
  <si>
    <t>Scatarie-Site1</t>
  </si>
  <si>
    <t>2-B</t>
  </si>
  <si>
    <t>2-C</t>
  </si>
  <si>
    <t>3-S1</t>
  </si>
  <si>
    <t>Scatarie-Site2</t>
  </si>
  <si>
    <t>3-S2</t>
  </si>
  <si>
    <t>3-S3</t>
  </si>
  <si>
    <t>Water CONTROL</t>
  </si>
  <si>
    <t>4-A</t>
  </si>
  <si>
    <t>Scatarie-Site3</t>
  </si>
  <si>
    <t>4-B</t>
  </si>
  <si>
    <t>4-C</t>
  </si>
  <si>
    <t>EXTR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</si>
</sst>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7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68423-F8DC-4290-8435-406A888C2A81}">
  <dimension ref="A1:K34"/>
  <sheetViews>
    <sheetView tabSelected="1" workbookViewId="0">
      <selection activeCell="P14" sqref="P14"/>
    </sheetView>
  </sheetViews>
  <sheetFormatPr defaultRowHeight="15" x14ac:dyDescent="0.25"/>
  <cols>
    <col min="1" max="1" width="3.7109375" customWidth="1"/>
    <col min="2" max="2" width="5.140625" customWidth="1"/>
    <col min="3" max="3" width="8" customWidth="1"/>
    <col min="4" max="4" width="7.7109375" customWidth="1"/>
    <col min="5" max="7" width="13.85546875" customWidth="1"/>
    <col min="8" max="8" width="7.28515625" customWidth="1"/>
    <col min="9" max="9" width="9.5703125" customWidth="1"/>
    <col min="10" max="10" width="9.85546875" customWidth="1"/>
    <col min="11" max="11" width="11.28515625" customWidth="1"/>
  </cols>
  <sheetData>
    <row r="1" spans="1:11" x14ac:dyDescent="0.25">
      <c r="A1" t="s">
        <v>0</v>
      </c>
      <c r="H1" s="13" t="s">
        <v>1</v>
      </c>
      <c r="I1" s="13"/>
      <c r="J1" s="13"/>
      <c r="K1" s="13"/>
    </row>
    <row r="2" spans="1:11" x14ac:dyDescent="0.25">
      <c r="F2" s="1" t="s">
        <v>2</v>
      </c>
      <c r="G2" t="s">
        <v>3</v>
      </c>
      <c r="H2" s="2"/>
      <c r="I2" s="2" t="s">
        <v>4</v>
      </c>
      <c r="J2" s="2"/>
      <c r="K2" s="2" t="s">
        <v>5</v>
      </c>
    </row>
    <row r="3" spans="1:11" x14ac:dyDescent="0.25"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4" t="s">
        <v>12</v>
      </c>
      <c r="I3" s="4" t="s">
        <v>13</v>
      </c>
      <c r="J3" s="4" t="s">
        <v>14</v>
      </c>
      <c r="K3" s="4" t="s">
        <v>15</v>
      </c>
    </row>
    <row r="4" spans="1:11" x14ac:dyDescent="0.25">
      <c r="B4" s="5">
        <v>1</v>
      </c>
      <c r="C4" s="5" t="s">
        <v>16</v>
      </c>
      <c r="D4" s="5" t="s">
        <v>17</v>
      </c>
      <c r="E4" s="5" t="s">
        <v>18</v>
      </c>
      <c r="F4" s="5"/>
      <c r="G4" s="5" t="s">
        <v>19</v>
      </c>
      <c r="H4" s="6">
        <v>24.5</v>
      </c>
      <c r="I4" s="7">
        <f>+(100/H4)</f>
        <v>4.0816326530612246</v>
      </c>
      <c r="J4" s="7">
        <f>+(20-I4)</f>
        <v>15.918367346938776</v>
      </c>
      <c r="K4" s="6">
        <v>10</v>
      </c>
    </row>
    <row r="5" spans="1:11" x14ac:dyDescent="0.25">
      <c r="B5" s="8">
        <v>2</v>
      </c>
      <c r="C5" s="8" t="s">
        <v>20</v>
      </c>
      <c r="D5" s="8" t="s">
        <v>21</v>
      </c>
      <c r="E5" s="8" t="s">
        <v>22</v>
      </c>
      <c r="F5" s="8"/>
      <c r="G5" s="11" t="s">
        <v>19</v>
      </c>
      <c r="H5" s="9">
        <v>25.2</v>
      </c>
      <c r="I5" s="10">
        <f t="shared" ref="I5:I32" si="0">+(100/H5)</f>
        <v>3.9682539682539684</v>
      </c>
      <c r="J5" s="10">
        <f t="shared" ref="J5:J33" si="1">+(20-I5)</f>
        <v>16.031746031746032</v>
      </c>
      <c r="K5" s="9">
        <v>10</v>
      </c>
    </row>
    <row r="6" spans="1:11" x14ac:dyDescent="0.25">
      <c r="B6" s="5">
        <v>3</v>
      </c>
      <c r="C6" s="5" t="s">
        <v>23</v>
      </c>
      <c r="D6" s="5" t="s">
        <v>24</v>
      </c>
      <c r="E6" s="5" t="s">
        <v>25</v>
      </c>
      <c r="F6" s="5"/>
      <c r="G6" s="5" t="s">
        <v>19</v>
      </c>
      <c r="H6" s="6">
        <v>24.6</v>
      </c>
      <c r="I6" s="7">
        <f t="shared" si="0"/>
        <v>4.0650406504065035</v>
      </c>
      <c r="J6" s="7">
        <f t="shared" si="1"/>
        <v>15.934959349593496</v>
      </c>
      <c r="K6" s="6">
        <v>10</v>
      </c>
    </row>
    <row r="7" spans="1:11" x14ac:dyDescent="0.25">
      <c r="B7" s="8">
        <v>4</v>
      </c>
      <c r="C7" s="8" t="s">
        <v>26</v>
      </c>
      <c r="D7" s="8" t="s">
        <v>17</v>
      </c>
      <c r="E7" s="8" t="s">
        <v>27</v>
      </c>
      <c r="F7" s="8"/>
      <c r="G7" s="8" t="s">
        <v>28</v>
      </c>
      <c r="H7" s="9">
        <v>0.23</v>
      </c>
      <c r="I7" s="10">
        <v>20</v>
      </c>
      <c r="J7" s="10">
        <f t="shared" si="1"/>
        <v>0</v>
      </c>
      <c r="K7" s="9">
        <v>10</v>
      </c>
    </row>
    <row r="8" spans="1:11" x14ac:dyDescent="0.25">
      <c r="B8" s="5">
        <v>5</v>
      </c>
      <c r="C8" s="5" t="s">
        <v>29</v>
      </c>
      <c r="D8" s="5" t="s">
        <v>30</v>
      </c>
      <c r="E8" s="5" t="s">
        <v>31</v>
      </c>
      <c r="F8" s="5"/>
      <c r="G8" s="5" t="s">
        <v>32</v>
      </c>
      <c r="H8" s="6">
        <v>5</v>
      </c>
      <c r="I8" s="7">
        <f t="shared" si="0"/>
        <v>20</v>
      </c>
      <c r="J8" s="7">
        <f t="shared" si="1"/>
        <v>0</v>
      </c>
      <c r="K8" s="6">
        <v>10</v>
      </c>
    </row>
    <row r="9" spans="1:11" x14ac:dyDescent="0.25">
      <c r="B9" s="8">
        <v>6</v>
      </c>
      <c r="C9" s="8" t="s">
        <v>29</v>
      </c>
      <c r="D9" s="8" t="s">
        <v>21</v>
      </c>
      <c r="E9" s="8" t="s">
        <v>33</v>
      </c>
      <c r="F9" s="8"/>
      <c r="G9" s="11" t="s">
        <v>32</v>
      </c>
      <c r="H9" s="9">
        <v>6.8</v>
      </c>
      <c r="I9" s="10">
        <f t="shared" si="0"/>
        <v>14.705882352941178</v>
      </c>
      <c r="J9" s="10">
        <f t="shared" si="1"/>
        <v>5.2941176470588225</v>
      </c>
      <c r="K9" s="9">
        <v>10</v>
      </c>
    </row>
    <row r="10" spans="1:11" x14ac:dyDescent="0.25">
      <c r="B10" s="5">
        <v>7</v>
      </c>
      <c r="C10" s="5" t="s">
        <v>26</v>
      </c>
      <c r="D10" s="5" t="s">
        <v>24</v>
      </c>
      <c r="E10" s="5" t="s">
        <v>34</v>
      </c>
      <c r="F10" s="5"/>
      <c r="G10" s="5" t="s">
        <v>32</v>
      </c>
      <c r="H10" s="6">
        <v>18.399999999999999</v>
      </c>
      <c r="I10" s="7">
        <f t="shared" si="0"/>
        <v>5.4347826086956523</v>
      </c>
      <c r="J10" s="7">
        <f t="shared" si="1"/>
        <v>14.565217391304348</v>
      </c>
      <c r="K10" s="6">
        <v>10</v>
      </c>
    </row>
    <row r="11" spans="1:11" x14ac:dyDescent="0.25">
      <c r="B11" s="8">
        <v>8</v>
      </c>
      <c r="C11" s="8" t="s">
        <v>35</v>
      </c>
      <c r="D11" s="8" t="s">
        <v>24</v>
      </c>
      <c r="E11" s="8" t="s">
        <v>36</v>
      </c>
      <c r="F11" s="8"/>
      <c r="G11" s="8" t="s">
        <v>37</v>
      </c>
      <c r="H11" s="9">
        <v>0.14000000000000001</v>
      </c>
      <c r="I11" s="10">
        <v>20</v>
      </c>
      <c r="J11" s="10">
        <f t="shared" si="1"/>
        <v>0</v>
      </c>
      <c r="K11" s="9">
        <v>10</v>
      </c>
    </row>
    <row r="12" spans="1:11" x14ac:dyDescent="0.25">
      <c r="B12" s="5">
        <v>9</v>
      </c>
      <c r="C12" s="5" t="s">
        <v>26</v>
      </c>
      <c r="D12" s="5" t="s">
        <v>21</v>
      </c>
      <c r="E12" s="5" t="s">
        <v>38</v>
      </c>
      <c r="F12" s="5"/>
      <c r="G12" s="5" t="s">
        <v>39</v>
      </c>
      <c r="H12" s="6">
        <v>24.3</v>
      </c>
      <c r="I12" s="7">
        <f t="shared" si="0"/>
        <v>4.1152263374485596</v>
      </c>
      <c r="J12" s="7">
        <f t="shared" si="1"/>
        <v>15.88477366255144</v>
      </c>
      <c r="K12" s="6">
        <v>10</v>
      </c>
    </row>
    <row r="13" spans="1:11" x14ac:dyDescent="0.25">
      <c r="B13" s="8">
        <v>10</v>
      </c>
      <c r="C13" s="8" t="s">
        <v>29</v>
      </c>
      <c r="D13" s="8" t="s">
        <v>24</v>
      </c>
      <c r="E13" s="8" t="s">
        <v>40</v>
      </c>
      <c r="F13" s="8"/>
      <c r="G13" s="11" t="s">
        <v>39</v>
      </c>
      <c r="H13" s="9">
        <v>21</v>
      </c>
      <c r="I13" s="10">
        <f t="shared" si="0"/>
        <v>4.7619047619047619</v>
      </c>
      <c r="J13" s="10">
        <f t="shared" si="1"/>
        <v>15.238095238095237</v>
      </c>
      <c r="K13" s="9">
        <v>10</v>
      </c>
    </row>
    <row r="14" spans="1:11" x14ac:dyDescent="0.25">
      <c r="B14" s="5">
        <v>11</v>
      </c>
      <c r="C14" s="5" t="s">
        <v>20</v>
      </c>
      <c r="D14" s="5" t="s">
        <v>17</v>
      </c>
      <c r="E14" s="5" t="s">
        <v>41</v>
      </c>
      <c r="F14" s="5"/>
      <c r="G14" s="5" t="s">
        <v>39</v>
      </c>
      <c r="H14" s="6">
        <v>21.9</v>
      </c>
      <c r="I14" s="7">
        <f t="shared" si="0"/>
        <v>4.5662100456621006</v>
      </c>
      <c r="J14" s="7">
        <f t="shared" si="1"/>
        <v>15.4337899543379</v>
      </c>
      <c r="K14" s="6">
        <v>10</v>
      </c>
    </row>
    <row r="15" spans="1:11" x14ac:dyDescent="0.25">
      <c r="B15" s="8">
        <v>12</v>
      </c>
      <c r="C15" s="8" t="s">
        <v>42</v>
      </c>
      <c r="D15" s="8" t="s">
        <v>24</v>
      </c>
      <c r="E15" s="8" t="s">
        <v>43</v>
      </c>
      <c r="F15" s="8"/>
      <c r="G15" s="11" t="s">
        <v>44</v>
      </c>
      <c r="H15" s="9">
        <v>0.31</v>
      </c>
      <c r="I15" s="10">
        <v>20</v>
      </c>
      <c r="J15" s="10">
        <f t="shared" si="1"/>
        <v>0</v>
      </c>
      <c r="K15" s="9">
        <v>10</v>
      </c>
    </row>
    <row r="16" spans="1:11" x14ac:dyDescent="0.25">
      <c r="B16" s="5">
        <v>13</v>
      </c>
      <c r="C16" s="5" t="s">
        <v>20</v>
      </c>
      <c r="D16" s="5" t="s">
        <v>30</v>
      </c>
      <c r="E16" s="5" t="s">
        <v>45</v>
      </c>
      <c r="F16" s="5"/>
      <c r="G16" s="5" t="s">
        <v>46</v>
      </c>
      <c r="H16" s="6">
        <v>24.1</v>
      </c>
      <c r="I16" s="7">
        <f t="shared" si="0"/>
        <v>4.1493775933609953</v>
      </c>
      <c r="J16" s="7">
        <f t="shared" si="1"/>
        <v>15.850622406639005</v>
      </c>
      <c r="K16" s="6">
        <v>10</v>
      </c>
    </row>
    <row r="17" spans="2:11" x14ac:dyDescent="0.25">
      <c r="B17" s="8">
        <v>14</v>
      </c>
      <c r="C17" s="8" t="s">
        <v>16</v>
      </c>
      <c r="D17" s="8" t="s">
        <v>30</v>
      </c>
      <c r="E17" s="8" t="s">
        <v>47</v>
      </c>
      <c r="F17" s="8"/>
      <c r="G17" s="11" t="s">
        <v>46</v>
      </c>
      <c r="H17" s="9">
        <v>19.8</v>
      </c>
      <c r="I17" s="10">
        <f t="shared" si="0"/>
        <v>5.0505050505050502</v>
      </c>
      <c r="J17" s="10">
        <f t="shared" si="1"/>
        <v>14.94949494949495</v>
      </c>
      <c r="K17" s="9">
        <v>10</v>
      </c>
    </row>
    <row r="18" spans="2:11" x14ac:dyDescent="0.25">
      <c r="B18" s="5">
        <v>15</v>
      </c>
      <c r="C18" s="5" t="s">
        <v>23</v>
      </c>
      <c r="D18" s="5" t="s">
        <v>21</v>
      </c>
      <c r="E18" s="5" t="s">
        <v>48</v>
      </c>
      <c r="F18" s="5"/>
      <c r="G18" s="5" t="s">
        <v>46</v>
      </c>
      <c r="H18" s="6">
        <v>28.2</v>
      </c>
      <c r="I18" s="7">
        <f t="shared" si="0"/>
        <v>3.5460992907801421</v>
      </c>
      <c r="J18" s="7">
        <f t="shared" si="1"/>
        <v>16.453900709219859</v>
      </c>
      <c r="K18" s="6">
        <v>10</v>
      </c>
    </row>
    <row r="19" spans="2:11" x14ac:dyDescent="0.25">
      <c r="B19" s="12">
        <v>16</v>
      </c>
      <c r="C19" s="12" t="s">
        <v>49</v>
      </c>
      <c r="D19" s="12" t="s">
        <v>21</v>
      </c>
      <c r="E19" s="8" t="s">
        <v>50</v>
      </c>
      <c r="F19" s="8"/>
      <c r="G19" s="8" t="s">
        <v>51</v>
      </c>
      <c r="H19" s="9">
        <v>0.44</v>
      </c>
      <c r="I19" s="10">
        <v>20</v>
      </c>
      <c r="J19" s="10">
        <f t="shared" si="1"/>
        <v>0</v>
      </c>
      <c r="K19" s="9">
        <v>10</v>
      </c>
    </row>
    <row r="20" spans="2:11" x14ac:dyDescent="0.25">
      <c r="B20" s="5">
        <v>17</v>
      </c>
      <c r="C20" s="5" t="s">
        <v>23</v>
      </c>
      <c r="D20" s="5" t="s">
        <v>30</v>
      </c>
      <c r="E20" s="5" t="s">
        <v>52</v>
      </c>
      <c r="F20" s="5" t="s">
        <v>19</v>
      </c>
      <c r="G20" s="5"/>
      <c r="H20" s="6">
        <v>31.9</v>
      </c>
      <c r="I20" s="7">
        <f t="shared" si="0"/>
        <v>3.134796238244514</v>
      </c>
      <c r="J20" s="7">
        <f t="shared" si="1"/>
        <v>16.865203761755485</v>
      </c>
      <c r="K20" s="6">
        <v>10</v>
      </c>
    </row>
    <row r="21" spans="2:11" x14ac:dyDescent="0.25">
      <c r="B21" s="12">
        <v>18</v>
      </c>
      <c r="C21" s="12" t="s">
        <v>35</v>
      </c>
      <c r="D21" s="12" t="s">
        <v>17</v>
      </c>
      <c r="E21" s="8" t="s">
        <v>53</v>
      </c>
      <c r="F21" s="11" t="s">
        <v>19</v>
      </c>
      <c r="G21" s="8"/>
      <c r="H21" s="9">
        <v>27.9</v>
      </c>
      <c r="I21" s="10">
        <f t="shared" si="0"/>
        <v>3.5842293906810037</v>
      </c>
      <c r="J21" s="10">
        <f t="shared" si="1"/>
        <v>16.415770609318997</v>
      </c>
      <c r="K21" s="9">
        <v>10</v>
      </c>
    </row>
    <row r="22" spans="2:11" x14ac:dyDescent="0.25">
      <c r="B22" s="5">
        <v>19</v>
      </c>
      <c r="C22" s="5" t="s">
        <v>42</v>
      </c>
      <c r="D22" s="5" t="s">
        <v>30</v>
      </c>
      <c r="E22" s="5" t="s">
        <v>54</v>
      </c>
      <c r="F22" s="5" t="s">
        <v>19</v>
      </c>
      <c r="G22" s="5"/>
      <c r="H22" s="6">
        <v>37</v>
      </c>
      <c r="I22" s="7">
        <f t="shared" si="0"/>
        <v>2.7027027027027026</v>
      </c>
      <c r="J22" s="7">
        <f t="shared" si="1"/>
        <v>17.297297297297298</v>
      </c>
      <c r="K22" s="6">
        <v>10</v>
      </c>
    </row>
    <row r="23" spans="2:11" x14ac:dyDescent="0.25">
      <c r="B23" s="12">
        <v>20</v>
      </c>
      <c r="C23" s="12" t="s">
        <v>35</v>
      </c>
      <c r="D23" s="12" t="s">
        <v>21</v>
      </c>
      <c r="E23" s="8" t="s">
        <v>55</v>
      </c>
      <c r="F23" s="8" t="s">
        <v>56</v>
      </c>
      <c r="G23" s="8"/>
      <c r="H23" s="9">
        <v>25.1</v>
      </c>
      <c r="I23" s="10">
        <f t="shared" si="0"/>
        <v>3.9840637450199199</v>
      </c>
      <c r="J23" s="10">
        <f t="shared" si="1"/>
        <v>16.01593625498008</v>
      </c>
      <c r="K23" s="9">
        <v>10</v>
      </c>
    </row>
    <row r="24" spans="2:11" x14ac:dyDescent="0.25">
      <c r="B24" s="5">
        <v>21</v>
      </c>
      <c r="C24" s="5" t="s">
        <v>42</v>
      </c>
      <c r="D24" s="5" t="s">
        <v>17</v>
      </c>
      <c r="E24" s="5" t="s">
        <v>57</v>
      </c>
      <c r="F24" s="5" t="s">
        <v>56</v>
      </c>
      <c r="G24" s="5"/>
      <c r="H24" s="6">
        <v>22.1</v>
      </c>
      <c r="I24" s="7">
        <f t="shared" si="0"/>
        <v>4.5248868778280542</v>
      </c>
      <c r="J24" s="7">
        <f t="shared" si="1"/>
        <v>15.475113122171946</v>
      </c>
      <c r="K24" s="6">
        <v>10</v>
      </c>
    </row>
    <row r="25" spans="2:11" x14ac:dyDescent="0.25">
      <c r="B25" s="12">
        <v>22</v>
      </c>
      <c r="C25" s="12" t="s">
        <v>29</v>
      </c>
      <c r="D25" s="12" t="s">
        <v>17</v>
      </c>
      <c r="E25" s="8" t="s">
        <v>58</v>
      </c>
      <c r="F25" s="8" t="s">
        <v>56</v>
      </c>
      <c r="G25" s="8"/>
      <c r="H25" s="9">
        <v>21.1</v>
      </c>
      <c r="I25" s="10">
        <f t="shared" si="0"/>
        <v>4.7393364928909953</v>
      </c>
      <c r="J25" s="10">
        <f t="shared" si="1"/>
        <v>15.260663507109005</v>
      </c>
      <c r="K25" s="9">
        <v>10</v>
      </c>
    </row>
    <row r="26" spans="2:11" x14ac:dyDescent="0.25">
      <c r="B26" s="5">
        <v>23</v>
      </c>
      <c r="C26" s="5" t="s">
        <v>16</v>
      </c>
      <c r="D26" s="5" t="s">
        <v>21</v>
      </c>
      <c r="E26" s="5" t="s">
        <v>59</v>
      </c>
      <c r="F26" s="5" t="s">
        <v>60</v>
      </c>
      <c r="G26" s="5"/>
      <c r="H26" s="6">
        <v>18.5</v>
      </c>
      <c r="I26" s="7">
        <f t="shared" si="0"/>
        <v>5.4054054054054053</v>
      </c>
      <c r="J26" s="7">
        <f t="shared" si="1"/>
        <v>14.594594594594595</v>
      </c>
      <c r="K26" s="6">
        <v>10</v>
      </c>
    </row>
    <row r="27" spans="2:11" x14ac:dyDescent="0.25">
      <c r="B27" s="12">
        <v>24</v>
      </c>
      <c r="C27" s="12" t="s">
        <v>49</v>
      </c>
      <c r="D27" s="12" t="s">
        <v>24</v>
      </c>
      <c r="E27" s="8" t="s">
        <v>61</v>
      </c>
      <c r="F27" s="8" t="s">
        <v>60</v>
      </c>
      <c r="G27" s="8"/>
      <c r="H27" s="9">
        <v>20.100000000000001</v>
      </c>
      <c r="I27" s="10">
        <f t="shared" si="0"/>
        <v>4.9751243781094523</v>
      </c>
      <c r="J27" s="10">
        <f t="shared" si="1"/>
        <v>15.024875621890548</v>
      </c>
      <c r="K27" s="9">
        <v>10</v>
      </c>
    </row>
    <row r="28" spans="2:11" x14ac:dyDescent="0.25">
      <c r="B28" s="5">
        <v>25</v>
      </c>
      <c r="C28" s="5" t="s">
        <v>26</v>
      </c>
      <c r="D28" s="5" t="s">
        <v>30</v>
      </c>
      <c r="E28" s="5" t="s">
        <v>62</v>
      </c>
      <c r="F28" s="5" t="s">
        <v>60</v>
      </c>
      <c r="G28" s="5"/>
      <c r="H28" s="6">
        <v>18.8</v>
      </c>
      <c r="I28" s="7">
        <f t="shared" si="0"/>
        <v>5.3191489361702127</v>
      </c>
      <c r="J28" s="7">
        <f t="shared" si="1"/>
        <v>14.680851063829788</v>
      </c>
      <c r="K28" s="6">
        <v>10</v>
      </c>
    </row>
    <row r="29" spans="2:11" x14ac:dyDescent="0.25">
      <c r="B29" s="12">
        <v>26</v>
      </c>
      <c r="C29" s="12" t="s">
        <v>42</v>
      </c>
      <c r="D29" s="12" t="s">
        <v>21</v>
      </c>
      <c r="E29" s="8" t="s">
        <v>63</v>
      </c>
      <c r="F29" s="8" t="s">
        <v>60</v>
      </c>
      <c r="G29" s="8"/>
      <c r="H29" s="9">
        <v>0.41</v>
      </c>
      <c r="I29" s="10">
        <v>20</v>
      </c>
      <c r="J29" s="10">
        <f t="shared" si="1"/>
        <v>0</v>
      </c>
      <c r="K29" s="9">
        <v>10</v>
      </c>
    </row>
    <row r="30" spans="2:11" x14ac:dyDescent="0.25">
      <c r="B30" s="5">
        <v>27</v>
      </c>
      <c r="C30" s="5" t="s">
        <v>16</v>
      </c>
      <c r="D30" s="5" t="s">
        <v>24</v>
      </c>
      <c r="E30" s="5" t="s">
        <v>64</v>
      </c>
      <c r="F30" s="5" t="s">
        <v>65</v>
      </c>
      <c r="G30" s="5"/>
      <c r="H30" s="6">
        <v>29.5</v>
      </c>
      <c r="I30" s="7">
        <f t="shared" si="0"/>
        <v>3.3898305084745761</v>
      </c>
      <c r="J30" s="7">
        <f t="shared" si="1"/>
        <v>16.610169491525426</v>
      </c>
      <c r="K30" s="6">
        <v>10</v>
      </c>
    </row>
    <row r="31" spans="2:11" x14ac:dyDescent="0.25">
      <c r="B31" s="12">
        <v>28</v>
      </c>
      <c r="C31" s="12" t="s">
        <v>23</v>
      </c>
      <c r="D31" s="12" t="s">
        <v>17</v>
      </c>
      <c r="E31" s="8" t="s">
        <v>66</v>
      </c>
      <c r="F31" s="11" t="s">
        <v>65</v>
      </c>
      <c r="G31" s="8"/>
      <c r="H31" s="9">
        <v>21.7</v>
      </c>
      <c r="I31" s="10">
        <f t="shared" si="0"/>
        <v>4.6082949308755765</v>
      </c>
      <c r="J31" s="10">
        <f t="shared" si="1"/>
        <v>15.391705069124423</v>
      </c>
      <c r="K31" s="9">
        <v>10</v>
      </c>
    </row>
    <row r="32" spans="2:11" x14ac:dyDescent="0.25">
      <c r="B32" s="5">
        <v>29</v>
      </c>
      <c r="C32" s="5" t="s">
        <v>35</v>
      </c>
      <c r="D32" s="5" t="s">
        <v>30</v>
      </c>
      <c r="E32" s="5" t="s">
        <v>67</v>
      </c>
      <c r="F32" s="5" t="s">
        <v>65</v>
      </c>
      <c r="G32" s="5"/>
      <c r="H32" s="6">
        <v>27.5</v>
      </c>
      <c r="I32" s="7">
        <f t="shared" si="0"/>
        <v>3.6363636363636362</v>
      </c>
      <c r="J32" s="7">
        <f t="shared" si="1"/>
        <v>16.363636363636363</v>
      </c>
      <c r="K32" s="6">
        <v>10</v>
      </c>
    </row>
    <row r="33" spans="2:11" x14ac:dyDescent="0.25">
      <c r="B33" s="12">
        <v>30</v>
      </c>
      <c r="C33" s="12" t="s">
        <v>49</v>
      </c>
      <c r="D33" s="12" t="s">
        <v>17</v>
      </c>
      <c r="E33" s="8" t="s">
        <v>68</v>
      </c>
      <c r="F33" s="8"/>
      <c r="G33" s="8"/>
      <c r="H33" s="9">
        <v>0.57999999999999996</v>
      </c>
      <c r="I33" s="10">
        <v>20</v>
      </c>
      <c r="J33" s="10">
        <f t="shared" si="1"/>
        <v>0</v>
      </c>
      <c r="K33" s="9">
        <v>10</v>
      </c>
    </row>
    <row r="34" spans="2:11" x14ac:dyDescent="0.25">
      <c r="H34" s="2"/>
      <c r="I34" s="2"/>
      <c r="J34" s="2"/>
      <c r="K34" s="2"/>
    </row>
  </sheetData>
  <mergeCells count="1">
    <mergeCell ref="H1:K1"/>
  </mergeCells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Rawlings</dc:creator>
  <cp:lastModifiedBy>Jeffery, Nick (DFO/MPO)</cp:lastModifiedBy>
  <dcterms:created xsi:type="dcterms:W3CDTF">2026-03-04T16:48:38Z</dcterms:created>
  <dcterms:modified xsi:type="dcterms:W3CDTF">2026-03-09T16:53:25Z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2026-03-09T16:53:06Z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49f0bb52-d7a3-4f18-a981-b57714adac73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